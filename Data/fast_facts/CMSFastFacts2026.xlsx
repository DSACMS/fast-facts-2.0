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Box\Box\OEDA IPAG-Projects\FF-CMS Fast Facts\Release Years\RY26-Release Year 2026\Data\Intermediate\"/>
    </mc:Choice>
  </mc:AlternateContent>
  <xr:revisionPtr revIDLastSave="0" documentId="13_ncr:1_{D9CBFB45-1CC2-4C60-A516-53497775C501}" xr6:coauthVersionLast="47" xr6:coauthVersionMax="47" xr10:uidLastSave="{00000000-0000-0000-0000-000000000000}"/>
  <bookViews>
    <workbookView xWindow="28680" yWindow="-120" windowWidth="29040" windowHeight="15720" tabRatio="963" xr2:uid="{00000000-000D-0000-FFFF-FFFF00000000}"/>
  </bookViews>
  <sheets>
    <sheet name="Populations" sheetId="3" r:id="rId1"/>
    <sheet name="Deductibles, Coins, Premiums" sheetId="5" r:id="rId2"/>
    <sheet name="Medicare Utilization" sheetId="6" r:id="rId3"/>
    <sheet name="Medicare Utilization-Charts" sheetId="21" r:id="rId4"/>
    <sheet name="Medicare Part D" sheetId="8" r:id="rId5"/>
    <sheet name="Medicaid &amp; CHIP Expenditures" sheetId="10" r:id="rId6"/>
    <sheet name="Medicaid &amp; CHIP-Chart" sheetId="11" r:id="rId7"/>
    <sheet name="Institutional Providers" sheetId="12" r:id="rId8"/>
    <sheet name="NonInstitutional Providers" sheetId="13" r:id="rId9"/>
    <sheet name="DMEPOS Providers" sheetId="18" r:id="rId10"/>
    <sheet name="Prepaid Contracts" sheetId="14" r:id="rId11"/>
    <sheet name="NHE" sheetId="15" r:id="rId12"/>
    <sheet name="CMS Financial Data" sheetId="16"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<sst xmlns="http://schemas.openxmlformats.org/spreadsheetml/2006/main" count="198" uniqueCount="176">
  <si>
    <t>MA - Medicare Advantage</t>
  </si>
  <si>
    <t>PDP - Prescription Drug Plan</t>
  </si>
  <si>
    <t>CHIP - Children's Health Insurance Program</t>
  </si>
  <si>
    <t>Medicare (avg monthly)</t>
  </si>
  <si>
    <t xml:space="preserve">  Parts A and/or B</t>
  </si>
  <si>
    <t xml:space="preserve">    Aged</t>
  </si>
  <si>
    <t xml:space="preserve">    Disabled</t>
  </si>
  <si>
    <t xml:space="preserve">    MA Enrollment</t>
  </si>
  <si>
    <t>Medicare Deductibles, Coinsurance, Premiums</t>
  </si>
  <si>
    <t>SOURCE:  CMS/Office of the Actuary</t>
  </si>
  <si>
    <t>Part A</t>
  </si>
  <si>
    <t>Inpatient Hospital</t>
  </si>
  <si>
    <t>Coinsurance/LTR Day</t>
  </si>
  <si>
    <t>Part B</t>
  </si>
  <si>
    <t>Deductible</t>
  </si>
  <si>
    <t>Part D</t>
  </si>
  <si>
    <t>Maximum Deductible</t>
  </si>
  <si>
    <t>Initial Coverage Limit</t>
  </si>
  <si>
    <t>Out-of-Pocket Threshold</t>
  </si>
  <si>
    <t>Premiums</t>
  </si>
  <si>
    <t>Total = Parts A and/or B</t>
  </si>
  <si>
    <t>Total</t>
  </si>
  <si>
    <t xml:space="preserve">  Inpatient Hospital</t>
  </si>
  <si>
    <t xml:space="preserve">  Skilled Nursing Facility</t>
  </si>
  <si>
    <t xml:space="preserve">  Home Health Agency</t>
  </si>
  <si>
    <t xml:space="preserve">  Hospice</t>
  </si>
  <si>
    <t xml:space="preserve">  Outpatient</t>
  </si>
  <si>
    <t>Medicare Part D Utilization and Expenditures</t>
  </si>
  <si>
    <t xml:space="preserve">  Part D Benefit Payments</t>
  </si>
  <si>
    <t xml:space="preserve">  Part D Administrative Expenses</t>
  </si>
  <si>
    <t>PT - Physical Therapy</t>
  </si>
  <si>
    <t>Total Hospitals</t>
  </si>
  <si>
    <t xml:space="preserve">  Short Stay </t>
  </si>
  <si>
    <t xml:space="preserve">  Psychiatric</t>
  </si>
  <si>
    <t xml:space="preserve">  Rehabilitation</t>
  </si>
  <si>
    <t xml:space="preserve">  Children's</t>
  </si>
  <si>
    <t xml:space="preserve">  Long Term</t>
  </si>
  <si>
    <t xml:space="preserve">  Critical Access</t>
  </si>
  <si>
    <t xml:space="preserve">  Religious Non-Medical</t>
  </si>
  <si>
    <t>Home Health Agencies</t>
  </si>
  <si>
    <t>Skilled Nursing Facilities</t>
  </si>
  <si>
    <t>Labs</t>
  </si>
  <si>
    <t>Outpatient PT/Speech Pathology</t>
  </si>
  <si>
    <t>Rural Health Clinics</t>
  </si>
  <si>
    <t>Federally Qualified Health Centers</t>
  </si>
  <si>
    <t>Ambulatory Surgical Centers</t>
  </si>
  <si>
    <t>Comprehensive Outpatient Rehab Facilities</t>
  </si>
  <si>
    <t>Hospices</t>
  </si>
  <si>
    <t xml:space="preserve">  Primary Care</t>
  </si>
  <si>
    <t xml:space="preserve">  Surgical Specialties</t>
  </si>
  <si>
    <t xml:space="preserve">  Medical Specialties</t>
  </si>
  <si>
    <t xml:space="preserve">  Anesthesiology</t>
  </si>
  <si>
    <t xml:space="preserve">  Pathology</t>
  </si>
  <si>
    <t xml:space="preserve">  Psychiatry</t>
  </si>
  <si>
    <t xml:space="preserve">  Radiology</t>
  </si>
  <si>
    <t xml:space="preserve">  Emergency Medicine</t>
  </si>
  <si>
    <t xml:space="preserve">  Non-Physician Practitioners</t>
  </si>
  <si>
    <t xml:space="preserve">  Limited Licensed Practitioners</t>
  </si>
  <si>
    <t xml:space="preserve">  Ambulance Service Supplier</t>
  </si>
  <si>
    <t>Total Prepaid Plans (MA and others)</t>
  </si>
  <si>
    <t>Total Prescription Drug Plans</t>
  </si>
  <si>
    <t>SOURCE:  CMS/Center for Medicare</t>
  </si>
  <si>
    <t>% of GDP</t>
  </si>
  <si>
    <t>Per Capita</t>
  </si>
  <si>
    <t>Health Insurance</t>
  </si>
  <si>
    <t xml:space="preserve">  Private Health Insurance</t>
  </si>
  <si>
    <t xml:space="preserve">  Medicare</t>
  </si>
  <si>
    <t xml:space="preserve">  Medicaid (Title XIX)</t>
  </si>
  <si>
    <t xml:space="preserve">  CHIP (Title XIX &amp; XXI)</t>
  </si>
  <si>
    <t xml:space="preserve">  Department of Defense</t>
  </si>
  <si>
    <t xml:space="preserve">  Department of Veterans Affairs</t>
  </si>
  <si>
    <t xml:space="preserve">  CHIP</t>
  </si>
  <si>
    <t xml:space="preserve">  Other Spending</t>
  </si>
  <si>
    <t>Total Program Management ($ in millions)</t>
  </si>
  <si>
    <t xml:space="preserve">  Total Appropriation</t>
  </si>
  <si>
    <t xml:space="preserve">  Other Sources</t>
  </si>
  <si>
    <t>Total Health Care Fraud &amp; Abuse Control Funding ($ in millions)</t>
  </si>
  <si>
    <t xml:space="preserve">FTE Employment </t>
  </si>
  <si>
    <t>SOURCES:  CMS/Office of Enterprise Data &amp; Analytics/Office of the Actuary</t>
  </si>
  <si>
    <t>SOURCE:  CMS/Office of Enterprise Data &amp; Analytics</t>
  </si>
  <si>
    <t>Payments                 (in billions)</t>
  </si>
  <si>
    <t>Dollars in billions except for Per Capita.</t>
  </si>
  <si>
    <t>SOURCE:  CMS/Office of Financial Management</t>
  </si>
  <si>
    <t>LTR - Life Time Reserve</t>
  </si>
  <si>
    <t>SNF - Skilled Nursing Facility</t>
  </si>
  <si>
    <t xml:space="preserve">  Physician/DME</t>
  </si>
  <si>
    <t>DME - Durable Medical Equipment</t>
  </si>
  <si>
    <r>
      <t>CMS Program Data - Populations</t>
    </r>
    <r>
      <rPr>
        <b/>
        <vertAlign val="superscript"/>
        <sz val="11"/>
        <color indexed="62"/>
        <rFont val="Calibri"/>
        <family val="2"/>
      </rPr>
      <t>1</t>
    </r>
  </si>
  <si>
    <t>Type of Provider</t>
  </si>
  <si>
    <t>Count</t>
  </si>
  <si>
    <t>Specialty Type</t>
  </si>
  <si>
    <t>Utilizing Beneficiaries, in millions</t>
  </si>
  <si>
    <t>Prescription Drug Events, in billions</t>
  </si>
  <si>
    <t>Total Part D Expenditures, in billions</t>
  </si>
  <si>
    <t>Persons Served</t>
  </si>
  <si>
    <t>Program Payments</t>
  </si>
  <si>
    <t>(in billions)</t>
  </si>
  <si>
    <t>(in millions)</t>
  </si>
  <si>
    <r>
      <rPr>
        <vertAlign val="superscript"/>
        <sz val="8"/>
        <color indexed="62"/>
        <rFont val="Calibri"/>
        <family val="2"/>
      </rPr>
      <t>1</t>
    </r>
    <r>
      <rPr>
        <sz val="8"/>
        <color indexed="62"/>
        <rFont val="Calibri"/>
        <family val="2"/>
      </rPr>
      <t xml:space="preserve"> Populations are in millions and may not add due to rounding</t>
    </r>
  </si>
  <si>
    <t xml:space="preserve">  All Other Providers</t>
  </si>
  <si>
    <t>Total DMEPOS Providers</t>
  </si>
  <si>
    <t xml:space="preserve">  Pharmacy</t>
  </si>
  <si>
    <t xml:space="preserve">  Medical Supply Company</t>
  </si>
  <si>
    <t xml:space="preserve">  Optometry</t>
  </si>
  <si>
    <t xml:space="preserve">  Podiatry</t>
  </si>
  <si>
    <t xml:space="preserve">  Individual Certified Prosthetist/Orthotist</t>
  </si>
  <si>
    <t xml:space="preserve">  Optician</t>
  </si>
  <si>
    <t xml:space="preserve">  Orthopedic Surgery</t>
  </si>
  <si>
    <t xml:space="preserve">  Ophthalmology</t>
  </si>
  <si>
    <t xml:space="preserve">  General Practice</t>
  </si>
  <si>
    <t xml:space="preserve">  All Other DMEPOS Providers</t>
  </si>
  <si>
    <t>Total Providers</t>
  </si>
  <si>
    <t>Medicare Durable Medical Equipment, Prosthetics, Orthotics</t>
  </si>
  <si>
    <t>and Supplies (DMEPOS) Providers by Specialty</t>
  </si>
  <si>
    <t xml:space="preserve">  Original Medicare Enrollment</t>
  </si>
  <si>
    <t xml:space="preserve">  MA &amp; Other Health Plan Enrollment</t>
  </si>
  <si>
    <t>Original Medicare Persons Served and Payments by Type of Service</t>
  </si>
  <si>
    <t xml:space="preserve">SOURCE:  CMS/Center for Medicaid and CHIP Services </t>
  </si>
  <si>
    <r>
      <rPr>
        <vertAlign val="superscript"/>
        <sz val="8"/>
        <color indexed="62"/>
        <rFont val="Calibri"/>
        <family val="2"/>
      </rPr>
      <t>2</t>
    </r>
    <r>
      <rPr>
        <sz val="8"/>
        <color indexed="62"/>
        <rFont val="Calibri"/>
        <family val="2"/>
      </rPr>
      <t xml:space="preserve"> Preliminary and subject to change</t>
    </r>
  </si>
  <si>
    <t xml:space="preserve">  Obstetrics-Gynecology</t>
  </si>
  <si>
    <t xml:space="preserve">  Opioid Treatment Programs</t>
  </si>
  <si>
    <t xml:space="preserve">  Part D (MAPD+PDP)</t>
  </si>
  <si>
    <t>CY 2023</t>
  </si>
  <si>
    <t>Managed Care</t>
  </si>
  <si>
    <t>Administrative</t>
  </si>
  <si>
    <t>Medicaid &amp; CHIP Payments by Selected Type of Service</t>
  </si>
  <si>
    <t xml:space="preserve">    Children</t>
  </si>
  <si>
    <t xml:space="preserve">    Medicaid Expansion Adults</t>
  </si>
  <si>
    <t>SOURCES:  CMS/Office of Enterprise Data &amp; Analytics/Centers for Medicaid and CHIP Services</t>
  </si>
  <si>
    <r>
      <rPr>
        <vertAlign val="superscript"/>
        <sz val="8"/>
        <color indexed="62"/>
        <rFont val="Calibri"/>
        <family val="2"/>
      </rPr>
      <t>3</t>
    </r>
    <r>
      <rPr>
        <sz val="8"/>
        <color indexed="62"/>
        <rFont val="Calibri"/>
        <family val="2"/>
      </rPr>
      <t xml:space="preserve"> The total counts represent the number of Medicaid and CHIP beneficiaries with comprehensive coverage.  The categories are sourced from data that include beneficiaries with non-comprehensive coverage and do not sum to the total counts.</t>
    </r>
  </si>
  <si>
    <t>NOTES:  Expenditures by service category do not sum to the total expenditures.  Total expenditures also include Medicare payments for some beneficiaries and adjustments to prior year payments.  Managed care expenditures cover the same services that are delivered via fee-for-service.  Data do not permit allocation of managed care expenditures to the different service categories.  These expenditures are from all Medicaid beneficiaries, regardless of eligibility.  The data reported in this table are from the Medicaid &amp; CHIP Scorecard:  https://www.medicaid.gov/state-overviews/scorecard/annual-medicaid-chip-expenditures/index.html</t>
  </si>
  <si>
    <t>Medicaid &amp; CHIP Payments (in Billions) by Selected Type of Service</t>
  </si>
  <si>
    <t>--</t>
  </si>
  <si>
    <t>-- Data not yet available</t>
  </si>
  <si>
    <t>CY 2024</t>
  </si>
  <si>
    <r>
      <t xml:space="preserve">  Total</t>
    </r>
    <r>
      <rPr>
        <vertAlign val="superscript"/>
        <sz val="10"/>
        <color theme="3"/>
        <rFont val="Calibri"/>
        <family val="2"/>
        <scheme val="minor"/>
      </rPr>
      <t>3</t>
    </r>
  </si>
  <si>
    <t>Part A (Reduced)</t>
  </si>
  <si>
    <t>Part A (Full)</t>
  </si>
  <si>
    <t>Coinsurance/Day (Days 61-90)</t>
  </si>
  <si>
    <t>Coinsurance/SNF Day (Days 21-100)</t>
  </si>
  <si>
    <t xml:space="preserve">NOTES:  The Medicaid &amp; CHIP data reported in this table are from the Medicaid &amp; CHIP scorecard:  https://www.medicaid.gov/state-overviews/scorecard/who-enrolls-medicaid-chip/index.html.  </t>
  </si>
  <si>
    <t>MAPD - Medicare Advantage Prescription Drug Plan</t>
  </si>
  <si>
    <t>CY 2025</t>
  </si>
  <si>
    <t>$185.00-$628.90</t>
  </si>
  <si>
    <t>Total Federal Program Spending ($ in millions)</t>
  </si>
  <si>
    <t xml:space="preserve">  Medicare Benefits</t>
  </si>
  <si>
    <t>Original Medicare Persons Served (in Millions) by Type of Service</t>
  </si>
  <si>
    <t>Original Medicare Program Payments (in Billions) by Type of Service</t>
  </si>
  <si>
    <t>SOURCE:  https://www.medicare.gov</t>
  </si>
  <si>
    <t>N/A</t>
  </si>
  <si>
    <t>NOTES: The inpatient hospital deductible applies per benefit period.  For Part D, the initial coverage limit was eliminated in 2025.  More information can be found - https://www.cms.gov/files/document/final-cy-2025-part-d-redesign-program-instructions.pdf</t>
  </si>
  <si>
    <r>
      <t>CY 2025</t>
    </r>
    <r>
      <rPr>
        <b/>
        <vertAlign val="superscript"/>
        <sz val="10"/>
        <color indexed="62"/>
        <rFont val="Calibri"/>
        <family val="2"/>
      </rPr>
      <t xml:space="preserve"> 2</t>
    </r>
  </si>
  <si>
    <r>
      <t xml:space="preserve">    Dual Eligible (includes Aged, Disabled &amp; ESRD)</t>
    </r>
    <r>
      <rPr>
        <vertAlign val="superscript"/>
        <sz val="10"/>
        <color theme="3"/>
        <rFont val="Calibri"/>
        <family val="2"/>
        <scheme val="minor"/>
      </rPr>
      <t>4</t>
    </r>
  </si>
  <si>
    <r>
      <rPr>
        <vertAlign val="superscript"/>
        <sz val="8"/>
        <color rgb="FF333399"/>
        <rFont val="Calibri"/>
        <family val="2"/>
      </rPr>
      <t>4</t>
    </r>
    <r>
      <rPr>
        <sz val="8"/>
        <color indexed="62"/>
        <rFont val="Calibri"/>
        <family val="2"/>
      </rPr>
      <t xml:space="preserve"> Counts represent full-benefit eligible individuals.</t>
    </r>
  </si>
  <si>
    <t>CY 2026</t>
  </si>
  <si>
    <t>$202.90-$689.90</t>
  </si>
  <si>
    <t>Calendar Year 2024</t>
  </si>
  <si>
    <t>Fiscal Year 2024</t>
  </si>
  <si>
    <r>
      <t>All Services</t>
    </r>
    <r>
      <rPr>
        <b/>
        <vertAlign val="superscript"/>
        <sz val="10"/>
        <color theme="3"/>
        <rFont val="Calibri"/>
        <family val="2"/>
        <scheme val="minor"/>
      </rPr>
      <t>5</t>
    </r>
  </si>
  <si>
    <r>
      <t>Inpatient Services</t>
    </r>
    <r>
      <rPr>
        <vertAlign val="superscript"/>
        <sz val="10"/>
        <color theme="3"/>
        <rFont val="Calibri"/>
        <family val="2"/>
        <scheme val="minor"/>
      </rPr>
      <t>6</t>
    </r>
  </si>
  <si>
    <r>
      <t>Long-Term Care</t>
    </r>
    <r>
      <rPr>
        <vertAlign val="superscript"/>
        <sz val="10"/>
        <color theme="3"/>
        <rFont val="Calibri"/>
        <family val="2"/>
        <scheme val="minor"/>
      </rPr>
      <t>6</t>
    </r>
  </si>
  <si>
    <r>
      <t>Physician, Laboratory and Other Services</t>
    </r>
    <r>
      <rPr>
        <vertAlign val="superscript"/>
        <sz val="10"/>
        <color theme="3"/>
        <rFont val="Calibri"/>
        <family val="2"/>
        <scheme val="minor"/>
      </rPr>
      <t>6</t>
    </r>
  </si>
  <si>
    <r>
      <t>Prescription Drugs</t>
    </r>
    <r>
      <rPr>
        <vertAlign val="superscript"/>
        <sz val="10"/>
        <color theme="3"/>
        <rFont val="Calibri"/>
        <family val="2"/>
        <scheme val="minor"/>
      </rPr>
      <t>6</t>
    </r>
  </si>
  <si>
    <r>
      <rPr>
        <vertAlign val="superscript"/>
        <sz val="8"/>
        <color indexed="62"/>
        <rFont val="Calibri"/>
        <family val="2"/>
      </rPr>
      <t>5</t>
    </r>
    <r>
      <rPr>
        <sz val="8"/>
        <color indexed="62"/>
        <rFont val="Calibri"/>
        <family val="2"/>
      </rPr>
      <t xml:space="preserve"> Payments for all services includes payments for additional services not broken out separately.</t>
    </r>
  </si>
  <si>
    <r>
      <rPr>
        <vertAlign val="superscript"/>
        <sz val="8"/>
        <color indexed="62"/>
        <rFont val="Calibri"/>
        <family val="2"/>
      </rPr>
      <t>6</t>
    </r>
    <r>
      <rPr>
        <sz val="8"/>
        <color indexed="62"/>
        <rFont val="Calibri"/>
        <family val="2"/>
      </rPr>
      <t xml:space="preserve"> Fee-for-service payments</t>
    </r>
  </si>
  <si>
    <t>Medicare Institutional Providers Calendar Year 2024</t>
  </si>
  <si>
    <r>
      <t>Medicare Non-Institutional Providers by Specialty</t>
    </r>
    <r>
      <rPr>
        <b/>
        <vertAlign val="superscript"/>
        <sz val="11"/>
        <color indexed="62"/>
        <rFont val="Calibri"/>
        <family val="2"/>
      </rPr>
      <t xml:space="preserve">7 </t>
    </r>
    <r>
      <rPr>
        <b/>
        <sz val="11"/>
        <color indexed="62"/>
        <rFont val="Calibri"/>
        <family val="2"/>
      </rPr>
      <t xml:space="preserve"> </t>
    </r>
  </si>
  <si>
    <r>
      <rPr>
        <vertAlign val="superscript"/>
        <sz val="8"/>
        <color indexed="62"/>
        <rFont val="Calibri"/>
        <family val="2"/>
      </rPr>
      <t>7</t>
    </r>
    <r>
      <rPr>
        <sz val="8"/>
        <color indexed="62"/>
        <rFont val="Calibri"/>
        <family val="2"/>
      </rPr>
      <t xml:space="preserve"> Providers utilized by Original Medicare beneficiaries for all Part B non-institutional provider services.  Providers may be counted in more than one specialty classification but are reported as a single provider in the "Total Providers" count.</t>
    </r>
  </si>
  <si>
    <r>
      <t>Calendar Year 2024</t>
    </r>
    <r>
      <rPr>
        <b/>
        <vertAlign val="superscript"/>
        <sz val="11"/>
        <color theme="3"/>
        <rFont val="Calibri"/>
        <family val="2"/>
        <scheme val="minor"/>
      </rPr>
      <t>8</t>
    </r>
  </si>
  <si>
    <r>
      <rPr>
        <vertAlign val="superscript"/>
        <sz val="8"/>
        <color indexed="62"/>
        <rFont val="Calibri"/>
        <family val="2"/>
      </rPr>
      <t>8</t>
    </r>
    <r>
      <rPr>
        <sz val="8"/>
        <color indexed="62"/>
        <rFont val="Calibri"/>
        <family val="2"/>
      </rPr>
      <t xml:space="preserve"> Providers utilized by Original Medicare beneficiaries for all Part B non-institutional DMEPOS services.  Providers may be counted in more than one specialty classification but are reported as a single provider in the "Total DMEPOS Providers" count.</t>
    </r>
  </si>
  <si>
    <t>Medicare Prepaid Contracts (02/2026)</t>
  </si>
  <si>
    <t>National Health Expenditures Calendar Year 2024</t>
  </si>
  <si>
    <t>CMS Financial Data Fiscal Year 2025</t>
  </si>
  <si>
    <r>
      <t xml:space="preserve">  Total Medicaid </t>
    </r>
    <r>
      <rPr>
        <vertAlign val="superscript"/>
        <sz val="10"/>
        <color theme="3"/>
        <rFont val="Calibri"/>
        <family val="2"/>
        <scheme val="minor"/>
      </rPr>
      <t>9</t>
    </r>
  </si>
  <si>
    <r>
      <rPr>
        <vertAlign val="superscript"/>
        <sz val="8"/>
        <color indexed="62"/>
        <rFont val="Calibri"/>
        <family val="2"/>
      </rPr>
      <t>9</t>
    </r>
    <r>
      <rPr>
        <sz val="8"/>
        <color indexed="62"/>
        <rFont val="Calibri"/>
        <family val="2"/>
      </rPr>
      <t xml:space="preserve"> Amount reported as total gross outlays including the Vaccines for Children Program.</t>
    </r>
  </si>
  <si>
    <r>
      <t>Medicaid &amp; CHIP</t>
    </r>
    <r>
      <rPr>
        <b/>
        <vertAlign val="superscript"/>
        <sz val="10"/>
        <color theme="3"/>
        <rFont val="Calibri"/>
        <family val="2"/>
        <scheme val="minor"/>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</si>
</sst>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0.0"/>
    <numFmt numFmtId="166" formatCode="&quot;$&quot;#,##0.0"/>
    <numFmt numFmtId="167" formatCode="0.0%"/>
    <numFmt numFmtId="168" formatCode="&quot;$&quot;#,##0.00"/>
    <numFmt numFmtId="169" formatCode="&quot;$&quot;#,##0"/>
    <numFmt numFmtId="170" formatCode="_(* #,##0_);_(* \(#,##0\);_(* &quot;-&quot;??_);_(@_)"/>
  </numFmts>
  <fonts count="24" x14ac:knownFonts="1">
    <font>
      <sz val="10"/>
      <name val="Arial"/>
    </font>
    <font>
      <sz val="11"/>
      <color theme="1"/>
      <name val="Calibri"/>
      <family val="2"/>
      <scheme val="minor"/>
    </font>
    <font>
      <sz val="10"/>
      <name val="Arial"/>
      <family val="2"/>
    </font>
    <font>
      <sz val="8"/>
      <name val="Arial"/>
      <family val="2"/>
    </font>
    <font>
      <b/>
      <vertAlign val="superscript"/>
      <sz val="10"/>
      <color indexed="62"/>
      <name val="Calibri"/>
      <family val="2"/>
    </font>
    <font>
      <b/>
      <sz val="11"/>
      <color indexed="62"/>
      <name val="Calibri"/>
      <family val="2"/>
    </font>
    <font>
      <b/>
      <vertAlign val="superscript"/>
      <sz val="11"/>
      <color indexed="62"/>
      <name val="Calibri"/>
      <family val="2"/>
    </font>
    <font>
      <sz val="8"/>
      <color indexed="62"/>
      <name val="Calibri"/>
      <family val="2"/>
    </font>
    <font>
      <vertAlign val="superscript"/>
      <sz val="8"/>
      <color indexed="62"/>
      <name val="Calibri"/>
      <family val="2"/>
    </font>
    <font>
      <sz val="10"/>
      <name val="Arial"/>
      <family val="2"/>
    </font>
    <font>
      <sz val="11"/>
      <color theme="1"/>
      <name val="Calibri"/>
      <family val="2"/>
      <scheme val="minor"/>
    </font>
    <font>
      <b/>
      <sz val="11"/>
      <color theme="3"/>
      <name val="Calibri"/>
      <family val="2"/>
      <scheme val="minor"/>
    </font>
    <font>
      <sz val="10"/>
      <color theme="3"/>
      <name val="Calibri"/>
      <family val="2"/>
      <scheme val="minor"/>
    </font>
    <font>
      <sz val="9"/>
      <color theme="3"/>
      <name val="Calibri"/>
      <family val="2"/>
      <scheme val="minor"/>
    </font>
    <font>
      <b/>
      <sz val="10"/>
      <color theme="3"/>
      <name val="Calibri"/>
      <family val="2"/>
      <scheme val="minor"/>
    </font>
    <font>
      <sz val="10"/>
      <color theme="1"/>
      <name val="Calibri"/>
      <family val="2"/>
      <scheme val="minor"/>
    </font>
    <font>
      <sz val="11"/>
      <color theme="3"/>
      <name val="Calibri"/>
      <family val="2"/>
      <scheme val="minor"/>
    </font>
    <font>
      <sz val="8"/>
      <color theme="3"/>
      <name val="Calibri"/>
      <family val="2"/>
      <scheme val="minor"/>
    </font>
    <font>
      <sz val="8"/>
      <color theme="3"/>
      <name val="Calibri"/>
      <family val="2"/>
    </font>
    <font>
      <vertAlign val="superscript"/>
      <sz val="8"/>
      <color theme="3"/>
      <name val="Calibri"/>
      <family val="2"/>
    </font>
    <font>
      <b/>
      <vertAlign val="superscript"/>
      <sz val="10"/>
      <color theme="3"/>
      <name val="Calibri"/>
      <family val="2"/>
      <scheme val="minor"/>
    </font>
    <font>
      <vertAlign val="superscript"/>
      <sz val="10"/>
      <color theme="3"/>
      <name val="Calibri"/>
      <family val="2"/>
      <scheme val="minor"/>
    </font>
    <font>
      <vertAlign val="superscript"/>
      <sz val="8"/>
      <color rgb="FF333399"/>
      <name val="Calibri"/>
      <family val="2"/>
    </font>
    <font>
      <b/>
      <vertAlign val="superscript"/>
      <sz val="11"/>
      <color theme="3"/>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7">
    <border>
      <left/>
      <right/>
      <top/>
      <bottom/>
      <diagonal/>
    </border>
    <border>
      <left/>
      <right/>
      <top style="thick">
        <color theme="3"/>
      </top>
      <bottom/>
      <diagonal/>
    </border>
    <border>
      <left/>
      <right/>
      <top style="thin">
        <color theme="3"/>
      </top>
      <bottom/>
      <diagonal/>
    </border>
    <border>
      <left/>
      <right/>
      <top/>
      <bottom style="thin">
        <color theme="3"/>
      </bottom>
      <diagonal/>
    </border>
    <border>
      <left/>
      <right/>
      <top/>
      <bottom style="thick">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theme="3"/>
      </left>
      <right/>
      <top/>
      <bottom/>
      <diagonal/>
    </border>
    <border>
      <left/>
      <right style="medium">
        <color theme="3"/>
      </right>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right/>
      <top style="thin">
        <color theme="3"/>
      </top>
      <bottom style="thin">
        <color theme="3"/>
      </bottom>
      <diagonal/>
    </border>
  </borders>
  <cellStyleXfs count="12">
    <xf numFmtId="0" fontId="0" fillId="0" borderId="0"/>
    <xf numFmtId="43" fontId="2" fillId="0" borderId="0" applyFont="0" applyFill="0" applyBorder="0" applyAlignment="0" applyProtection="0"/>
    <xf numFmtId="43" fontId="9" fillId="0" borderId="0" applyFont="0" applyFill="0" applyBorder="0" applyAlignment="0" applyProtection="0"/>
    <xf numFmtId="44" fontId="2" fillId="0" borderId="0" applyFont="0" applyFill="0" applyBorder="0" applyAlignment="0" applyProtection="0"/>
    <xf numFmtId="44"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9" fontId="9" fillId="0" borderId="0" applyFont="0" applyFill="0" applyBorder="0" applyAlignment="0" applyProtection="0"/>
    <xf numFmtId="0" fontId="2" fillId="0" borderId="0"/>
    <xf numFmtId="0" fontId="1" fillId="0" borderId="0"/>
    <xf numFmtId="44" fontId="1" fillId="0" borderId="0" applyFont="0" applyFill="0" applyBorder="0" applyAlignment="0" applyProtection="0"/>
  </cellStyleXfs>
  <cellXfs count="143">
    <xf numFmtId="0" fontId="0" fillId="0" borderId="0" xfId="0"/>
    <xf numFmtId="0" fontId="12" fillId="0" borderId="0" xfId="0" applyFont="1" applyAlignment="1">
      <alignment horizontal="left"/>
    </xf>
    <xf numFmtId="0" fontId="12" fillId="0" borderId="0" xfId="0" applyFont="1"/>
    <xf numFmtId="0" fontId="13" fillId="0" borderId="0" xfId="0" applyFont="1" applyAlignment="1">
      <alignment horizontal="left"/>
    </xf>
    <xf numFmtId="0" fontId="12" fillId="0" borderId="0" xfId="0" applyFont="1" applyAlignment="1">
      <alignment vertical="center"/>
    </xf>
    <xf numFmtId="0" fontId="12" fillId="0" borderId="1" xfId="0" applyFont="1" applyBorder="1"/>
    <xf numFmtId="0" fontId="12" fillId="0" borderId="1" xfId="0" applyFont="1" applyBorder="1" applyAlignment="1">
      <alignment horizontal="left"/>
    </xf>
    <xf numFmtId="0" fontId="12" fillId="2" borderId="0" xfId="0" applyFont="1" applyFill="1"/>
    <xf numFmtId="0" fontId="12" fillId="0" borderId="2" xfId="0" applyFont="1" applyBorder="1" applyAlignment="1">
      <alignment horizontal="left"/>
    </xf>
    <xf numFmtId="0" fontId="13" fillId="0" borderId="2" xfId="0" applyFont="1" applyBorder="1" applyAlignment="1">
      <alignment horizontal="left"/>
    </xf>
    <xf numFmtId="0" fontId="12" fillId="0" borderId="3" xfId="0" applyFont="1" applyBorder="1"/>
    <xf numFmtId="0" fontId="14" fillId="2" borderId="0" xfId="0" applyFont="1" applyFill="1"/>
    <xf numFmtId="0" fontId="14" fillId="2" borderId="0" xfId="0" applyFont="1" applyFill="1" applyAlignment="1">
      <alignment horizontal="right"/>
    </xf>
    <xf numFmtId="0" fontId="12" fillId="0" borderId="4" xfId="0" applyFont="1" applyBorder="1"/>
    <xf numFmtId="0" fontId="12" fillId="0" borderId="4" xfId="0" applyFont="1" applyBorder="1" applyAlignment="1">
      <alignment horizontal="left"/>
    </xf>
    <xf numFmtId="0" fontId="12" fillId="2" borderId="5" xfId="0" applyFont="1" applyFill="1" applyBorder="1"/>
    <xf numFmtId="0" fontId="12" fillId="2" borderId="6" xfId="0" applyFont="1" applyFill="1" applyBorder="1"/>
    <xf numFmtId="0" fontId="12" fillId="2" borderId="7" xfId="0" applyFont="1" applyFill="1" applyBorder="1"/>
    <xf numFmtId="0" fontId="12" fillId="2" borderId="8" xfId="0" applyFont="1" applyFill="1" applyBorder="1"/>
    <xf numFmtId="0" fontId="12" fillId="2" borderId="9" xfId="0" applyFont="1" applyFill="1" applyBorder="1"/>
    <xf numFmtId="0" fontId="12" fillId="2" borderId="10" xfId="0" applyFont="1" applyFill="1" applyBorder="1"/>
    <xf numFmtId="0" fontId="12" fillId="2" borderId="11" xfId="0" applyFont="1" applyFill="1" applyBorder="1"/>
    <xf numFmtId="0" fontId="12" fillId="2" borderId="12" xfId="0" applyFont="1" applyFill="1" applyBorder="1"/>
    <xf numFmtId="0" fontId="15" fillId="0" borderId="3" xfId="5" applyFont="1" applyBorder="1"/>
    <xf numFmtId="0" fontId="10" fillId="0" borderId="3" xfId="5" applyBorder="1" applyAlignment="1">
      <alignment horizontal="right"/>
    </xf>
    <xf numFmtId="0" fontId="12" fillId="0" borderId="0" xfId="5" applyFont="1"/>
    <xf numFmtId="0" fontId="16" fillId="0" borderId="0" xfId="5" applyFont="1" applyAlignment="1">
      <alignment horizontal="right"/>
    </xf>
    <xf numFmtId="168" fontId="16" fillId="0" borderId="0" xfId="5" applyNumberFormat="1" applyFont="1" applyAlignment="1">
      <alignment horizontal="right"/>
    </xf>
    <xf numFmtId="0" fontId="12" fillId="0" borderId="0" xfId="5" applyFont="1" applyAlignment="1">
      <alignment horizontal="right"/>
    </xf>
    <xf numFmtId="0" fontId="12" fillId="0" borderId="3" xfId="5" applyFont="1" applyBorder="1"/>
    <xf numFmtId="0" fontId="12" fillId="2" borderId="13" xfId="0" applyFont="1" applyFill="1" applyBorder="1"/>
    <xf numFmtId="0" fontId="12" fillId="2" borderId="14" xfId="0" applyFont="1" applyFill="1" applyBorder="1"/>
    <xf numFmtId="0" fontId="12" fillId="2" borderId="15" xfId="0" applyFont="1" applyFill="1" applyBorder="1"/>
    <xf numFmtId="0" fontId="14" fillId="2" borderId="0" xfId="5" applyFont="1" applyFill="1"/>
    <xf numFmtId="0" fontId="12" fillId="0" borderId="0" xfId="5" applyFont="1" applyAlignment="1">
      <alignment vertical="center"/>
    </xf>
    <xf numFmtId="0" fontId="12" fillId="0" borderId="0" xfId="0" applyFont="1" applyAlignment="1">
      <alignment horizontal="right"/>
    </xf>
    <xf numFmtId="165" fontId="12" fillId="0" borderId="0" xfId="5" applyNumberFormat="1" applyFont="1" applyAlignment="1">
      <alignment horizontal="right" vertical="center"/>
    </xf>
    <xf numFmtId="0" fontId="12" fillId="0" borderId="3" xfId="5" applyFont="1" applyBorder="1" applyAlignment="1">
      <alignment vertical="center"/>
    </xf>
    <xf numFmtId="0" fontId="14" fillId="2" borderId="0" xfId="5" applyFont="1" applyFill="1" applyAlignment="1">
      <alignment horizontal="right"/>
    </xf>
    <xf numFmtId="0" fontId="12" fillId="0" borderId="2" xfId="0" applyFont="1" applyBorder="1" applyAlignment="1">
      <alignment horizontal="right"/>
    </xf>
    <xf numFmtId="0" fontId="14" fillId="2" borderId="3" xfId="5" applyFont="1" applyFill="1" applyBorder="1"/>
    <xf numFmtId="170" fontId="11" fillId="2" borderId="3" xfId="1" applyNumberFormat="1" applyFont="1" applyFill="1" applyBorder="1" applyAlignment="1">
      <alignment horizontal="right"/>
    </xf>
    <xf numFmtId="169" fontId="12" fillId="0" borderId="3" xfId="5" applyNumberFormat="1" applyFont="1" applyBorder="1"/>
    <xf numFmtId="164" fontId="14" fillId="2" borderId="0" xfId="5" applyNumberFormat="1" applyFont="1" applyFill="1" applyAlignment="1">
      <alignment horizontal="right"/>
    </xf>
    <xf numFmtId="164" fontId="12" fillId="0" borderId="0" xfId="5" applyNumberFormat="1" applyFont="1" applyAlignment="1">
      <alignment horizontal="right" vertical="center"/>
    </xf>
    <xf numFmtId="164" fontId="12" fillId="0" borderId="3" xfId="5" applyNumberFormat="1" applyFont="1" applyBorder="1" applyAlignment="1">
      <alignment horizontal="right"/>
    </xf>
    <xf numFmtId="164" fontId="12" fillId="0" borderId="0" xfId="5" applyNumberFormat="1" applyFont="1" applyAlignment="1">
      <alignment horizontal="right"/>
    </xf>
    <xf numFmtId="169" fontId="12" fillId="0" borderId="0" xfId="4" applyNumberFormat="1" applyFont="1" applyAlignment="1">
      <alignment horizontal="right" vertical="center"/>
    </xf>
    <xf numFmtId="0" fontId="17" fillId="2" borderId="0" xfId="0" applyFont="1" applyFill="1"/>
    <xf numFmtId="0" fontId="17" fillId="0" borderId="0" xfId="0" applyFont="1"/>
    <xf numFmtId="166" fontId="16" fillId="0" borderId="3" xfId="5" applyNumberFormat="1" applyFont="1" applyBorder="1" applyAlignment="1">
      <alignment horizontal="right"/>
    </xf>
    <xf numFmtId="166" fontId="14" fillId="2" borderId="0" xfId="4" applyNumberFormat="1" applyFont="1" applyFill="1" applyAlignment="1">
      <alignment horizontal="right"/>
    </xf>
    <xf numFmtId="166" fontId="12" fillId="0" borderId="0" xfId="4" applyNumberFormat="1" applyFont="1" applyAlignment="1">
      <alignment horizontal="right" vertical="center"/>
    </xf>
    <xf numFmtId="166" fontId="12" fillId="0" borderId="3" xfId="4" applyNumberFormat="1" applyFont="1" applyBorder="1" applyAlignment="1">
      <alignment horizontal="right"/>
    </xf>
    <xf numFmtId="166" fontId="12" fillId="0" borderId="0" xfId="4" applyNumberFormat="1" applyFont="1" applyBorder="1" applyAlignment="1">
      <alignment horizontal="right"/>
    </xf>
    <xf numFmtId="168" fontId="16" fillId="0" borderId="3" xfId="5" applyNumberFormat="1" applyFont="1" applyBorder="1" applyAlignment="1">
      <alignment horizontal="right"/>
    </xf>
    <xf numFmtId="0" fontId="14" fillId="0" borderId="3" xfId="5" applyFont="1" applyBorder="1"/>
    <xf numFmtId="0" fontId="14" fillId="0" borderId="3" xfId="5" applyFont="1" applyBorder="1" applyAlignment="1">
      <alignment horizontal="right" wrapText="1"/>
    </xf>
    <xf numFmtId="169" fontId="12" fillId="2" borderId="3" xfId="5" applyNumberFormat="1" applyFont="1" applyFill="1" applyBorder="1"/>
    <xf numFmtId="0" fontId="16" fillId="0" borderId="0" xfId="0" applyFont="1"/>
    <xf numFmtId="0" fontId="11" fillId="0" borderId="4" xfId="0" applyFont="1" applyBorder="1" applyAlignment="1">
      <alignment horizontal="left"/>
    </xf>
    <xf numFmtId="0" fontId="16" fillId="0" borderId="4" xfId="0" applyFont="1" applyBorder="1"/>
    <xf numFmtId="0" fontId="11" fillId="0" borderId="0" xfId="0" applyFont="1" applyAlignment="1">
      <alignment horizontal="left"/>
    </xf>
    <xf numFmtId="0" fontId="16" fillId="0" borderId="4" xfId="0" applyFont="1" applyBorder="1" applyAlignment="1">
      <alignment horizontal="left"/>
    </xf>
    <xf numFmtId="0" fontId="14" fillId="0" borderId="3" xfId="5" quotePrefix="1" applyFont="1" applyBorder="1" applyAlignment="1">
      <alignment horizontal="right"/>
    </xf>
    <xf numFmtId="0" fontId="16" fillId="2" borderId="0" xfId="5" applyFont="1" applyFill="1"/>
    <xf numFmtId="0" fontId="16" fillId="0" borderId="0" xfId="0" applyFont="1" applyAlignment="1">
      <alignment vertical="center"/>
    </xf>
    <xf numFmtId="3" fontId="11" fillId="2" borderId="0" xfId="5" applyNumberFormat="1" applyFont="1" applyFill="1" applyAlignment="1">
      <alignment horizontal="right"/>
    </xf>
    <xf numFmtId="0" fontId="15" fillId="2" borderId="0" xfId="5" applyFont="1" applyFill="1"/>
    <xf numFmtId="0" fontId="10" fillId="2" borderId="0" xfId="5" applyFill="1" applyAlignment="1">
      <alignment horizontal="right"/>
    </xf>
    <xf numFmtId="49" fontId="12" fillId="0" borderId="0" xfId="0" applyNumberFormat="1" applyFont="1"/>
    <xf numFmtId="49" fontId="12" fillId="0" borderId="0" xfId="0" applyNumberFormat="1" applyFont="1" applyAlignment="1">
      <alignment horizontal="left"/>
    </xf>
    <xf numFmtId="49" fontId="12" fillId="0" borderId="3" xfId="5" applyNumberFormat="1" applyFont="1" applyBorder="1"/>
    <xf numFmtId="49" fontId="16" fillId="0" borderId="3" xfId="5" applyNumberFormat="1" applyFont="1" applyBorder="1" applyAlignment="1">
      <alignment horizontal="right"/>
    </xf>
    <xf numFmtId="49" fontId="12" fillId="0" borderId="3" xfId="0" applyNumberFormat="1" applyFont="1" applyBorder="1"/>
    <xf numFmtId="0" fontId="18" fillId="2" borderId="0" xfId="0" applyFont="1" applyFill="1" applyProtection="1">
      <protection locked="0"/>
    </xf>
    <xf numFmtId="0" fontId="16" fillId="0" borderId="0" xfId="0" applyFont="1" applyAlignment="1">
      <alignment horizontal="left"/>
    </xf>
    <xf numFmtId="0" fontId="14" fillId="0" borderId="1" xfId="5" applyFont="1" applyBorder="1" applyAlignment="1">
      <alignment horizontal="right" wrapText="1"/>
    </xf>
    <xf numFmtId="3" fontId="16" fillId="0" borderId="16" xfId="0" applyNumberFormat="1" applyFont="1" applyBorder="1"/>
    <xf numFmtId="3" fontId="16" fillId="0" borderId="16" xfId="5" applyNumberFormat="1" applyFont="1" applyBorder="1"/>
    <xf numFmtId="0" fontId="7" fillId="2" borderId="0" xfId="0" applyFont="1" applyFill="1" applyProtection="1">
      <protection locked="0"/>
    </xf>
    <xf numFmtId="166" fontId="14" fillId="2" borderId="0" xfId="5" applyNumberFormat="1" applyFont="1" applyFill="1"/>
    <xf numFmtId="164" fontId="0" fillId="0" borderId="0" xfId="0" applyNumberFormat="1"/>
    <xf numFmtId="164" fontId="12" fillId="0" borderId="3" xfId="0" applyNumberFormat="1" applyFont="1" applyBorder="1"/>
    <xf numFmtId="0" fontId="10" fillId="0" borderId="0" xfId="5"/>
    <xf numFmtId="49" fontId="18" fillId="2" borderId="0" xfId="0" applyNumberFormat="1" applyFont="1" applyFill="1" applyAlignment="1">
      <alignment horizontal="left" wrapText="1"/>
    </xf>
    <xf numFmtId="49" fontId="7" fillId="2" borderId="0" xfId="0" applyNumberFormat="1" applyFont="1" applyFill="1" applyAlignment="1">
      <alignment horizontal="left"/>
    </xf>
    <xf numFmtId="166" fontId="14" fillId="2" borderId="0" xfId="3" applyNumberFormat="1" applyFont="1" applyFill="1" applyBorder="1" applyAlignment="1">
      <alignment horizontal="right"/>
    </xf>
    <xf numFmtId="165" fontId="12" fillId="0" borderId="3" xfId="5" applyNumberFormat="1" applyFont="1" applyBorder="1" applyAlignment="1">
      <alignment horizontal="right" vertical="center"/>
    </xf>
    <xf numFmtId="166" fontId="12" fillId="0" borderId="3" xfId="3" applyNumberFormat="1" applyFont="1" applyFill="1" applyBorder="1" applyAlignment="1">
      <alignment horizontal="right" vertical="center"/>
    </xf>
    <xf numFmtId="166" fontId="12" fillId="0" borderId="3" xfId="5" applyNumberFormat="1" applyFont="1" applyBorder="1"/>
    <xf numFmtId="166" fontId="12" fillId="2" borderId="3" xfId="5" applyNumberFormat="1" applyFont="1" applyFill="1" applyBorder="1"/>
    <xf numFmtId="3" fontId="12" fillId="0" borderId="3" xfId="5" applyNumberFormat="1" applyFont="1" applyBorder="1" applyAlignment="1">
      <alignment horizontal="right" vertical="center"/>
    </xf>
    <xf numFmtId="49" fontId="17" fillId="0" borderId="0" xfId="0" applyNumberFormat="1" applyFont="1"/>
    <xf numFmtId="0" fontId="7" fillId="3" borderId="0" xfId="0" applyFont="1" applyFill="1" applyProtection="1">
      <protection locked="0"/>
    </xf>
    <xf numFmtId="0" fontId="12" fillId="3" borderId="0" xfId="0" applyFont="1" applyFill="1"/>
    <xf numFmtId="0" fontId="7" fillId="2" borderId="0" xfId="0" applyFont="1" applyFill="1" applyAlignment="1" applyProtection="1">
      <alignment horizontal="left" wrapText="1"/>
      <protection locked="0"/>
    </xf>
    <xf numFmtId="0" fontId="7" fillId="2" borderId="0" xfId="0" quotePrefix="1" applyFont="1" applyFill="1" applyAlignment="1" applyProtection="1">
      <alignment horizontal="left" wrapText="1"/>
      <protection locked="0"/>
    </xf>
    <xf numFmtId="0" fontId="12" fillId="0" borderId="2" xfId="0" applyFont="1" applyBorder="1"/>
    <xf numFmtId="164" fontId="12" fillId="3" borderId="3" xfId="0" applyNumberFormat="1" applyFont="1" applyFill="1" applyBorder="1"/>
    <xf numFmtId="164" fontId="12" fillId="0" borderId="3" xfId="0" quotePrefix="1" applyNumberFormat="1" applyFont="1" applyBorder="1" applyAlignment="1">
      <alignment horizontal="right"/>
    </xf>
    <xf numFmtId="170" fontId="16" fillId="0" borderId="3" xfId="1" applyNumberFormat="1" applyFont="1" applyFill="1" applyBorder="1" applyAlignment="1">
      <alignment horizontal="right"/>
    </xf>
    <xf numFmtId="166" fontId="12" fillId="2" borderId="3" xfId="2" applyNumberFormat="1" applyFont="1" applyFill="1" applyBorder="1" applyAlignment="1">
      <alignment horizontal="right"/>
    </xf>
    <xf numFmtId="167" fontId="12" fillId="0" borderId="3" xfId="8" applyNumberFormat="1" applyFont="1" applyFill="1" applyBorder="1" applyAlignment="1">
      <alignment horizontal="right"/>
    </xf>
    <xf numFmtId="169" fontId="12" fillId="0" borderId="3" xfId="2" applyNumberFormat="1" applyFont="1" applyFill="1" applyBorder="1" applyAlignment="1">
      <alignment horizontal="right"/>
    </xf>
    <xf numFmtId="166" fontId="12" fillId="0" borderId="3" xfId="2" applyNumberFormat="1" applyFont="1" applyFill="1" applyBorder="1" applyAlignment="1">
      <alignment horizontal="right"/>
    </xf>
    <xf numFmtId="0" fontId="11" fillId="0" borderId="0" xfId="9" applyFont="1" applyAlignment="1">
      <alignment horizontal="left"/>
    </xf>
    <xf numFmtId="0" fontId="16" fillId="0" borderId="0" xfId="9" applyFont="1"/>
    <xf numFmtId="0" fontId="11" fillId="0" borderId="4" xfId="9" applyFont="1" applyBorder="1" applyAlignment="1">
      <alignment horizontal="left"/>
    </xf>
    <xf numFmtId="0" fontId="16" fillId="0" borderId="4" xfId="9" applyFont="1" applyBorder="1"/>
    <xf numFmtId="0" fontId="12" fillId="0" borderId="0" xfId="9" applyFont="1"/>
    <xf numFmtId="0" fontId="13" fillId="0" borderId="0" xfId="9" applyFont="1" applyAlignment="1">
      <alignment horizontal="left"/>
    </xf>
    <xf numFmtId="0" fontId="12" fillId="0" borderId="0" xfId="9" applyFont="1" applyAlignment="1">
      <alignment horizontal="left"/>
    </xf>
    <xf numFmtId="0" fontId="12" fillId="0" borderId="0" xfId="9" applyFont="1" applyAlignment="1">
      <alignment vertical="center"/>
    </xf>
    <xf numFmtId="0" fontId="14" fillId="0" borderId="0" xfId="10" applyFont="1"/>
    <xf numFmtId="0" fontId="14" fillId="0" borderId="0" xfId="10" applyFont="1" applyAlignment="1">
      <alignment horizontal="left" wrapText="1"/>
    </xf>
    <xf numFmtId="0" fontId="14" fillId="0" borderId="0" xfId="10" applyFont="1" applyAlignment="1">
      <alignment horizontal="right"/>
    </xf>
    <xf numFmtId="0" fontId="12" fillId="0" borderId="0" xfId="10" applyFont="1" applyAlignment="1">
      <alignment vertical="center"/>
    </xf>
    <xf numFmtId="165" fontId="12" fillId="0" borderId="0" xfId="10" applyNumberFormat="1" applyFont="1" applyAlignment="1">
      <alignment horizontal="left" vertical="center"/>
    </xf>
    <xf numFmtId="169" fontId="12" fillId="0" borderId="0" xfId="11" applyNumberFormat="1" applyFont="1" applyFill="1" applyBorder="1" applyAlignment="1">
      <alignment horizontal="left" vertical="center"/>
    </xf>
    <xf numFmtId="165" fontId="14" fillId="0" borderId="0" xfId="10" applyNumberFormat="1" applyFont="1" applyAlignment="1">
      <alignment horizontal="left"/>
    </xf>
    <xf numFmtId="169" fontId="14" fillId="0" borderId="0" xfId="11" applyNumberFormat="1" applyFont="1" applyFill="1" applyBorder="1" applyAlignment="1">
      <alignment horizontal="left"/>
    </xf>
    <xf numFmtId="0" fontId="12" fillId="0" borderId="0" xfId="10" applyFont="1"/>
    <xf numFmtId="165" fontId="12" fillId="0" borderId="0" xfId="10" applyNumberFormat="1" applyFont="1" applyAlignment="1">
      <alignment horizontal="left"/>
    </xf>
    <xf numFmtId="169" fontId="12" fillId="0" borderId="0" xfId="11" applyNumberFormat="1" applyFont="1" applyFill="1" applyBorder="1" applyAlignment="1">
      <alignment horizontal="left"/>
    </xf>
    <xf numFmtId="49" fontId="12" fillId="0" borderId="0" xfId="9" applyNumberFormat="1" applyFont="1"/>
    <xf numFmtId="49" fontId="12" fillId="0" borderId="0" xfId="9" applyNumberFormat="1" applyFont="1" applyAlignment="1">
      <alignment horizontal="left"/>
    </xf>
    <xf numFmtId="0" fontId="12" fillId="0" borderId="1" xfId="9" applyFont="1" applyBorder="1"/>
    <xf numFmtId="0" fontId="12" fillId="0" borderId="1" xfId="9" applyFont="1" applyBorder="1" applyAlignment="1">
      <alignment horizontal="left"/>
    </xf>
    <xf numFmtId="168" fontId="16" fillId="0" borderId="3" xfId="5" quotePrefix="1" applyNumberFormat="1" applyFont="1" applyBorder="1" applyAlignment="1">
      <alignment horizontal="right"/>
    </xf>
    <xf numFmtId="37" fontId="12" fillId="2" borderId="3" xfId="1" applyNumberFormat="1" applyFont="1" applyFill="1" applyBorder="1"/>
    <xf numFmtId="0" fontId="12" fillId="3" borderId="3" xfId="0" applyFont="1" applyFill="1" applyBorder="1" applyAlignment="1">
      <alignment horizontal="left"/>
    </xf>
    <xf numFmtId="0" fontId="12" fillId="3" borderId="3" xfId="0" applyFont="1" applyFill="1" applyBorder="1"/>
    <xf numFmtId="0" fontId="7" fillId="2" borderId="0" xfId="0" applyFont="1" applyFill="1" applyAlignment="1" applyProtection="1">
      <alignment horizontal="left"/>
      <protection locked="0"/>
    </xf>
    <xf numFmtId="0" fontId="7" fillId="2" borderId="0" xfId="0" applyFont="1" applyFill="1" applyAlignment="1" applyProtection="1">
      <alignment horizontal="left" wrapText="1"/>
      <protection locked="0"/>
    </xf>
    <xf numFmtId="0" fontId="18" fillId="2" borderId="0" xfId="0" applyFont="1" applyFill="1" applyAlignment="1" applyProtection="1">
      <alignment horizontal="left" wrapText="1"/>
      <protection locked="0"/>
    </xf>
    <xf numFmtId="0" fontId="17" fillId="2" borderId="0" xfId="0" applyFont="1" applyFill="1" applyAlignment="1">
      <alignment horizontal="left" wrapText="1"/>
    </xf>
    <xf numFmtId="49" fontId="7" fillId="2" borderId="0" xfId="0" applyNumberFormat="1" applyFont="1" applyFill="1" applyAlignment="1">
      <alignment horizontal="left" wrapText="1"/>
    </xf>
    <xf numFmtId="49" fontId="19" fillId="2" borderId="0" xfId="0" applyNumberFormat="1" applyFont="1" applyFill="1" applyAlignment="1">
      <alignment horizontal="left" wrapText="1"/>
    </xf>
    <xf numFmtId="0" fontId="11" fillId="0" borderId="0" xfId="0" applyFont="1" applyAlignment="1">
      <alignment horizontal="left"/>
    </xf>
    <xf numFmtId="0" fontId="11" fillId="0" borderId="4" xfId="0" applyFont="1" applyBorder="1" applyAlignment="1">
      <alignment horizontal="left"/>
    </xf>
    <xf numFmtId="0" fontId="12" fillId="0" borderId="1" xfId="0" applyFont="1" applyBorder="1" applyAlignment="1">
      <alignment horizontal="left"/>
    </xf>
    <xf numFmtId="49" fontId="18" fillId="2" borderId="0" xfId="0" applyNumberFormat="1" applyFont="1" applyFill="1" applyAlignment="1">
      <alignment horizontal="left" wrapText="1"/>
    </xf>
  </cellXfs>
  <cellStyles count="12">
    <cellStyle name="Comma" xfId="1" builtinId="3"/>
    <cellStyle name="Comma 2" xfId="2" xr:uid="{00000000-0005-0000-0000-000001000000}"/>
    <cellStyle name="Currency" xfId="3" builtinId="4"/>
    <cellStyle name="Currency 2" xfId="4" xr:uid="{00000000-0005-0000-0000-000003000000}"/>
    <cellStyle name="Currency 2 2" xfId="11" xr:uid="{B1F9CBC8-C197-4A65-A10A-B681C4074E50}"/>
    <cellStyle name="Normal" xfId="0" builtinId="0"/>
    <cellStyle name="Normal 2" xfId="5" xr:uid="{00000000-0005-0000-0000-000005000000}"/>
    <cellStyle name="Normal 2 2" xfId="10" xr:uid="{4A5E0C24-1180-481D-A5C8-7F06001A5351}"/>
    <cellStyle name="Normal 3" xfId="6" xr:uid="{00000000-0005-0000-0000-000006000000}"/>
    <cellStyle name="Normal 4" xfId="9" xr:uid="{BE5FAA15-AD9B-49DE-905B-0ACC76BEB1EF}"/>
    <cellStyle name="Percent 2" xfId="7" xr:uid="{00000000-0005-0000-0000-000007000000}"/>
    <cellStyle name="Percent 3" xfId="8"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FDFBEB"/>
      <rgbColor rgb="00FF99CC"/>
      <rgbColor rgb="00EAEAEA"/>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73F13"/>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Pt>
            <c:idx val="0"/>
            <c:invertIfNegative val="0"/>
            <c:bubble3D val="0"/>
            <c:spPr>
              <a:solidFill>
                <a:srgbClr val="003366"/>
              </a:solidFill>
            </c:spPr>
            <c:extLst>
              <c:ext xmlns:c16="http://schemas.microsoft.com/office/drawing/2014/chart" uri="{C3380CC4-5D6E-409C-BE32-E72D297353CC}">
                <c16:uniqueId val="{00000001-DB3C-4798-B6B1-465097A9E2CB}"/>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DB3C-4798-B6B1-465097A9E2CB}"/>
              </c:ext>
            </c:extLst>
          </c:dPt>
          <c:dPt>
            <c:idx val="2"/>
            <c:invertIfNegative val="0"/>
            <c:bubble3D val="0"/>
            <c:spPr>
              <a:solidFill>
                <a:srgbClr val="FFC000"/>
              </a:solidFill>
            </c:spPr>
            <c:extLst>
              <c:ext xmlns:c16="http://schemas.microsoft.com/office/drawing/2014/chart" uri="{C3380CC4-5D6E-409C-BE32-E72D297353CC}">
                <c16:uniqueId val="{00000005-DB3C-4798-B6B1-465097A9E2CB}"/>
              </c:ext>
            </c:extLst>
          </c:dPt>
          <c:dPt>
            <c:idx val="3"/>
            <c:invertIfNegative val="0"/>
            <c:bubble3D val="0"/>
            <c:spPr>
              <a:solidFill>
                <a:schemeClr val="bg2">
                  <a:lumMod val="75000"/>
                </a:schemeClr>
              </a:solidFill>
            </c:spPr>
            <c:extLst>
              <c:ext xmlns:c16="http://schemas.microsoft.com/office/drawing/2014/chart" uri="{C3380CC4-5D6E-409C-BE32-E72D297353CC}">
                <c16:uniqueId val="{00000007-DB3C-4798-B6B1-465097A9E2CB}"/>
              </c:ext>
            </c:extLst>
          </c:dPt>
          <c:dLbls>
            <c:dLbl>
              <c:idx val="1"/>
              <c:spPr/>
              <c:txPr>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DB3C-4798-B6B1-465097A9E2CB}"/>
                </c:ext>
              </c:extLst>
            </c:dLbl>
            <c:dLbl>
              <c:idx val="2"/>
              <c:spPr/>
              <c:txPr>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DB3C-4798-B6B1-465097A9E2CB}"/>
                </c:ext>
              </c:extLst>
            </c:dLbl>
            <c:dLbl>
              <c:idx val="3"/>
              <c:spPr/>
              <c:txPr>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7-DB3C-4798-B6B1-465097A9E2CB}"/>
                </c:ext>
              </c:extLst>
            </c:dLbl>
            <c:spPr>
              <a:noFill/>
              <a:ln w="25400">
                <a:noFill/>
              </a:ln>
            </c:spPr>
            <c:txPr>
              <a:bodyPr wrap="square" lIns="38100" tIns="19050" rIns="38100" bIns="19050" anchor="ctr">
                <a:spAutoFit/>
              </a:bodyPr>
              <a:lstStyle/>
              <a:p>
                <a:pPr>
                  <a:defRPr sz="1000" b="0" i="0" u="none" strike="noStrike" baseline="0">
                    <a:solidFill>
                      <a:srgbClr val="FFFFFF"/>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'Medicare Utilization'!$A$8:$A$11</c:f>
              <c:strCache>
                <c:ptCount val="4"/>
                <c:pt idx="0">
                  <c:v>  Inpatient Hospital</c:v>
                </c:pt>
                <c:pt idx="1">
                  <c:v>  Skilled Nursing Facility</c:v>
                </c:pt>
                <c:pt idx="2">
                  <c:v>  Home Health Agency</c:v>
                </c:pt>
                <c:pt idx="3">
                  <c:v>  Hospice</c:v>
                </c:pt>
              </c:strCache>
            </c:strRef>
          </c:cat>
          <c:val>
            <c:numRef>
              <c:f>'Medicare Utilization'!$B$8:$B$11</c:f>
              <c:numCache>
                <c:formatCode>0.0</c:formatCode>
                <c:ptCount val="4"/>
                <c:pt idx="0">
                  <c:v>4.8</c:v>
                </c:pt>
                <c:pt idx="1">
                  <c:v>1.2</c:v>
                </c:pt>
                <c:pt idx="2">
                  <c:v>1.2</c:v>
                </c:pt>
                <c:pt idx="3">
                  <c:v>1.9</c:v>
                </c:pt>
              </c:numCache>
            </c:numRef>
          </c:val>
          <c:extLst>
            <c:ext xmlns:c16="http://schemas.microsoft.com/office/drawing/2014/chart" uri="{C3380CC4-5D6E-409C-BE32-E72D297353CC}">
              <c16:uniqueId val="{00000008-DB3C-4798-B6B1-465097A9E2CB}"/>
            </c:ext>
          </c:extLst>
        </c:ser>
        <c:dLbls>
          <c:showLegendKey val="0"/>
          <c:showVal val="0"/>
          <c:showCatName val="0"/>
          <c:showSerName val="0"/>
          <c:showPercent val="0"/>
          <c:showBubbleSize val="0"/>
        </c:dLbls>
        <c:gapWidth val="100"/>
        <c:axId val="374607704"/>
        <c:axId val="1"/>
      </c:barChart>
      <c:catAx>
        <c:axId val="374607704"/>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Persons  Served</a:t>
                </a:r>
              </a:p>
            </c:rich>
          </c:tx>
          <c:overlay val="0"/>
        </c:title>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74607704"/>
        <c:crosses val="autoZero"/>
        <c:crossBetween val="between"/>
      </c:valAx>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invertIfNegative val="0"/>
          <c:dPt>
            <c:idx val="0"/>
            <c:invertIfNegative val="0"/>
            <c:bubble3D val="0"/>
            <c:spPr>
              <a:solidFill>
                <a:srgbClr val="8064A2">
                  <a:lumMod val="75000"/>
                </a:srgbClr>
              </a:solidFill>
            </c:spPr>
            <c:extLst>
              <c:ext xmlns:c16="http://schemas.microsoft.com/office/drawing/2014/chart" uri="{C3380CC4-5D6E-409C-BE32-E72D297353CC}">
                <c16:uniqueId val="{00000001-BF88-4672-8D58-4F7D320E5443}"/>
              </c:ext>
            </c:extLst>
          </c:dPt>
          <c:dPt>
            <c:idx val="1"/>
            <c:invertIfNegative val="0"/>
            <c:bubble3D val="0"/>
            <c:spPr>
              <a:solidFill>
                <a:srgbClr val="339966"/>
              </a:solidFill>
            </c:spPr>
            <c:extLst>
              <c:ext xmlns:c16="http://schemas.microsoft.com/office/drawing/2014/chart" uri="{C3380CC4-5D6E-409C-BE32-E72D297353CC}">
                <c16:uniqueId val="{00000003-BF88-4672-8D58-4F7D320E5443}"/>
              </c:ext>
            </c:extLst>
          </c:dPt>
          <c:dPt>
            <c:idx val="2"/>
            <c:invertIfNegative val="0"/>
            <c:bubble3D val="0"/>
            <c:spPr>
              <a:solidFill>
                <a:srgbClr val="FFC000"/>
              </a:solidFill>
            </c:spPr>
            <c:extLst>
              <c:ext xmlns:c16="http://schemas.microsoft.com/office/drawing/2014/chart" uri="{C3380CC4-5D6E-409C-BE32-E72D297353CC}">
                <c16:uniqueId val="{00000005-BF88-4672-8D58-4F7D320E5443}"/>
              </c:ext>
            </c:extLst>
          </c:dPt>
          <c:dLbls>
            <c:dLbl>
              <c:idx val="0"/>
              <c:spPr/>
              <c:txPr>
                <a:bodyPr/>
                <a:lstStyle/>
                <a:p>
                  <a:pPr>
                    <a:defRPr sz="1000" b="0" i="0" u="none" strike="noStrike" baseline="0">
                      <a:solidFill>
                        <a:srgbClr val="FFFFFF"/>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BF88-4672-8D58-4F7D320E5443}"/>
                </c:ext>
              </c:extLst>
            </c:dLbl>
            <c:dLbl>
              <c:idx val="1"/>
              <c:spPr/>
              <c:txPr>
                <a:bodyPr/>
                <a:lstStyle/>
                <a:p>
                  <a:pPr>
                    <a:defRPr sz="1000" b="0" i="0" u="none" strike="noStrike" baseline="0">
                      <a:solidFill>
                        <a:srgbClr val="FFFFFF"/>
                      </a:solidFill>
                      <a:latin typeface="Calibri"/>
                      <a:ea typeface="Calibri"/>
                      <a:cs typeface="Calibri"/>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BF88-4672-8D58-4F7D320E5443}"/>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'Medicare Utilization'!$A$14:$A$16</c:f>
              <c:strCache>
                <c:ptCount val="3"/>
                <c:pt idx="0">
                  <c:v>  Physician/DME</c:v>
                </c:pt>
                <c:pt idx="1">
                  <c:v>  Outpatient</c:v>
                </c:pt>
                <c:pt idx="2">
                  <c:v>  Home Health Agency</c:v>
                </c:pt>
              </c:strCache>
            </c:strRef>
          </c:cat>
          <c:val>
            <c:numRef>
              <c:f>'Medicare Utilization'!$B$14:$B$16</c:f>
              <c:numCache>
                <c:formatCode>0.0</c:formatCode>
                <c:ptCount val="3"/>
                <c:pt idx="0">
                  <c:v>28.4</c:v>
                </c:pt>
                <c:pt idx="1">
                  <c:v>21.6</c:v>
                </c:pt>
                <c:pt idx="2">
                  <c:v>1.6</c:v>
                </c:pt>
              </c:numCache>
            </c:numRef>
          </c:val>
          <c:extLst>
            <c:ext xmlns:c16="http://schemas.microsoft.com/office/drawing/2014/chart" uri="{C3380CC4-5D6E-409C-BE32-E72D297353CC}">
              <c16:uniqueId val="{00000006-BF88-4672-8D58-4F7D320E5443}"/>
            </c:ext>
          </c:extLst>
        </c:ser>
        <c:dLbls>
          <c:showLegendKey val="0"/>
          <c:showVal val="0"/>
          <c:showCatName val="0"/>
          <c:showSerName val="0"/>
          <c:showPercent val="0"/>
          <c:showBubbleSize val="0"/>
        </c:dLbls>
        <c:gapWidth val="100"/>
        <c:axId val="374600488"/>
        <c:axId val="1"/>
      </c:barChart>
      <c:catAx>
        <c:axId val="37460048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Persons Served</a:t>
                </a:r>
              </a:p>
            </c:rich>
          </c:tx>
          <c:overlay val="0"/>
        </c:title>
        <c:numFmt formatCod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74600488"/>
        <c:crosses val="autoZero"/>
        <c:crossBetween val="between"/>
      </c:valAx>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25" r="0.25"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rgbClr val="003366"/>
              </a:solidFill>
            </c:spPr>
            <c:extLst>
              <c:ext xmlns:c16="http://schemas.microsoft.com/office/drawing/2014/chart" uri="{C3380CC4-5D6E-409C-BE32-E72D297353CC}">
                <c16:uniqueId val="{00000001-0505-4AD1-BD49-3A166995EE4C}"/>
              </c:ext>
            </c:extLst>
          </c:dPt>
          <c:dPt>
            <c:idx val="1"/>
            <c:bubble3D val="0"/>
            <c:spPr>
              <a:solidFill>
                <a:schemeClr val="accent3">
                  <a:lumMod val="75000"/>
                </a:schemeClr>
              </a:solidFill>
            </c:spPr>
            <c:extLst>
              <c:ext xmlns:c16="http://schemas.microsoft.com/office/drawing/2014/chart" uri="{C3380CC4-5D6E-409C-BE32-E72D297353CC}">
                <c16:uniqueId val="{00000003-0505-4AD1-BD49-3A166995EE4C}"/>
              </c:ext>
            </c:extLst>
          </c:dPt>
          <c:dPt>
            <c:idx val="2"/>
            <c:bubble3D val="0"/>
            <c:spPr>
              <a:solidFill>
                <a:srgbClr val="FFC000"/>
              </a:solidFill>
            </c:spPr>
            <c:extLst>
              <c:ext xmlns:c16="http://schemas.microsoft.com/office/drawing/2014/chart" uri="{C3380CC4-5D6E-409C-BE32-E72D297353CC}">
                <c16:uniqueId val="{00000005-0505-4AD1-BD49-3A166995EE4C}"/>
              </c:ext>
            </c:extLst>
          </c:dPt>
          <c:dPt>
            <c:idx val="3"/>
            <c:bubble3D val="0"/>
            <c:spPr>
              <a:solidFill>
                <a:schemeClr val="bg2">
                  <a:lumMod val="75000"/>
                </a:schemeClr>
              </a:solidFill>
            </c:spPr>
            <c:extLst>
              <c:ext xmlns:c16="http://schemas.microsoft.com/office/drawing/2014/chart" uri="{C3380CC4-5D6E-409C-BE32-E72D297353CC}">
                <c16:uniqueId val="{00000007-0505-4AD1-BD49-3A166995EE4C}"/>
              </c:ext>
            </c:extLst>
          </c:dPt>
          <c:dLbls>
            <c:dLbl>
              <c:idx val="0"/>
              <c:layout>
                <c:manualLayout>
                  <c:x val="-0.24529479546763971"/>
                  <c:y val="-0.23515456401283172"/>
                </c:manualLayout>
              </c:layout>
              <c:spPr/>
              <c:txPr>
                <a:bodyPr/>
                <a:lstStyle/>
                <a:p>
                  <a:pPr>
                    <a:defRPr sz="1000" b="0" i="0" u="none" strike="noStrike" baseline="0">
                      <a:solidFill>
                        <a:schemeClr val="bg1"/>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05-4AD1-BD49-3A166995EE4C}"/>
                </c:ext>
              </c:extLst>
            </c:dLbl>
            <c:dLbl>
              <c:idx val="1"/>
              <c:layout>
                <c:manualLayout>
                  <c:x val="-2.4476288290050698E-2"/>
                  <c:y val="0.2146740867917826"/>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05-4AD1-BD49-3A166995EE4C}"/>
                </c:ext>
              </c:extLst>
            </c:dLbl>
            <c:dLbl>
              <c:idx val="2"/>
              <c:layout>
                <c:manualLayout>
                  <c:x val="-0.13955559902838233"/>
                  <c:y val="7.1108874548576159E-2"/>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05-4AD1-BD49-3A166995EE4C}"/>
                </c:ext>
              </c:extLst>
            </c:dLbl>
            <c:dLbl>
              <c:idx val="3"/>
              <c:layout>
                <c:manualLayout>
                  <c:x val="-4.9414890211894248E-2"/>
                  <c:y val="1.157338440803008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05-4AD1-BD49-3A166995EE4C}"/>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'Medicare Utilization'!$A$8:$A$11</c:f>
              <c:strCache>
                <c:ptCount val="4"/>
                <c:pt idx="0">
                  <c:v>  Inpatient Hospital</c:v>
                </c:pt>
                <c:pt idx="1">
                  <c:v>  Skilled Nursing Facility</c:v>
                </c:pt>
                <c:pt idx="2">
                  <c:v>  Home Health Agency</c:v>
                </c:pt>
                <c:pt idx="3">
                  <c:v>  Hospice</c:v>
                </c:pt>
              </c:strCache>
            </c:strRef>
          </c:cat>
          <c:val>
            <c:numRef>
              <c:f>'Medicare Utilization'!$D$8:$D$11</c:f>
              <c:numCache>
                <c:formatCode>"$"#,##0.0</c:formatCode>
                <c:ptCount val="4"/>
                <c:pt idx="0">
                  <c:v>131.19999999999999</c:v>
                </c:pt>
                <c:pt idx="1">
                  <c:v>28.2</c:v>
                </c:pt>
                <c:pt idx="2">
                  <c:v>6</c:v>
                </c:pt>
                <c:pt idx="3">
                  <c:v>28.3</c:v>
                </c:pt>
              </c:numCache>
            </c:numRef>
          </c:val>
          <c:extLst>
            <c:ext xmlns:c16="http://schemas.microsoft.com/office/drawing/2014/chart" uri="{C3380CC4-5D6E-409C-BE32-E72D297353CC}">
              <c16:uniqueId val="{00000008-0505-4AD1-BD49-3A166995EE4C}"/>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pieChart>
        <c:varyColors val="1"/>
        <c:ser>
          <c:idx val="0"/>
          <c:order val="0"/>
          <c:dPt>
            <c:idx val="0"/>
            <c:bubble3D val="0"/>
            <c:spPr>
              <a:solidFill>
                <a:srgbClr val="8064A2">
                  <a:lumMod val="75000"/>
                </a:srgbClr>
              </a:solidFill>
            </c:spPr>
            <c:extLst>
              <c:ext xmlns:c16="http://schemas.microsoft.com/office/drawing/2014/chart" uri="{C3380CC4-5D6E-409C-BE32-E72D297353CC}">
                <c16:uniqueId val="{00000001-97A4-46AB-84EC-99EC8C566E24}"/>
              </c:ext>
            </c:extLst>
          </c:dPt>
          <c:dPt>
            <c:idx val="1"/>
            <c:bubble3D val="0"/>
            <c:spPr>
              <a:solidFill>
                <a:srgbClr val="339966"/>
              </a:solidFill>
            </c:spPr>
            <c:extLst>
              <c:ext xmlns:c16="http://schemas.microsoft.com/office/drawing/2014/chart" uri="{C3380CC4-5D6E-409C-BE32-E72D297353CC}">
                <c16:uniqueId val="{00000003-97A4-46AB-84EC-99EC8C566E24}"/>
              </c:ext>
            </c:extLst>
          </c:dPt>
          <c:dPt>
            <c:idx val="2"/>
            <c:bubble3D val="0"/>
            <c:spPr>
              <a:solidFill>
                <a:srgbClr val="FFC000"/>
              </a:solidFill>
            </c:spPr>
            <c:extLst>
              <c:ext xmlns:c16="http://schemas.microsoft.com/office/drawing/2014/chart" uri="{C3380CC4-5D6E-409C-BE32-E72D297353CC}">
                <c16:uniqueId val="{00000005-97A4-46AB-84EC-99EC8C566E24}"/>
              </c:ext>
            </c:extLst>
          </c:dPt>
          <c:dLbls>
            <c:dLbl>
              <c:idx val="0"/>
              <c:layout>
                <c:manualLayout>
                  <c:x val="-0.24420332779503479"/>
                  <c:y val="-0.14009393562646774"/>
                </c:manualLayout>
              </c:layout>
              <c:spPr/>
              <c:txPr>
                <a:bodyPr/>
                <a:lstStyle/>
                <a:p>
                  <a:pPr>
                    <a:defRPr sz="1000" b="0" i="0" u="none" strike="noStrike" baseline="0">
                      <a:solidFill>
                        <a:srgbClr val="FFFFFF"/>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A4-46AB-84EC-99EC8C566E24}"/>
                </c:ext>
              </c:extLst>
            </c:dLbl>
            <c:dLbl>
              <c:idx val="1"/>
              <c:layout>
                <c:manualLayout>
                  <c:x val="0.21652403541300458"/>
                  <c:y val="2.2768732855761451E-2"/>
                </c:manualLayout>
              </c:layout>
              <c:spPr/>
              <c:txPr>
                <a:bodyPr/>
                <a:lstStyle/>
                <a:p>
                  <a:pPr>
                    <a:defRPr sz="900" b="0" i="0" u="none" strike="noStrike" baseline="0">
                      <a:solidFill>
                        <a:srgbClr val="FFFFFF"/>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A4-46AB-84EC-99EC8C566E24}"/>
                </c:ext>
              </c:extLst>
            </c:dLbl>
            <c:dLbl>
              <c:idx val="2"/>
              <c:layout>
                <c:manualLayout>
                  <c:x val="-0.29868909885579598"/>
                  <c:y val="9.3358121901428984E-4"/>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A4-46AB-84EC-99EC8C566E24}"/>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'Medicare Utilization'!$A$14:$A$16</c:f>
              <c:strCache>
                <c:ptCount val="3"/>
                <c:pt idx="0">
                  <c:v>  Physician/DME</c:v>
                </c:pt>
                <c:pt idx="1">
                  <c:v>  Outpatient</c:v>
                </c:pt>
                <c:pt idx="2">
                  <c:v>  Home Health Agency</c:v>
                </c:pt>
              </c:strCache>
            </c:strRef>
          </c:cat>
          <c:val>
            <c:numRef>
              <c:f>'Medicare Utilization'!$D$14:$D$16</c:f>
              <c:numCache>
                <c:formatCode>"$"#,##0.0</c:formatCode>
                <c:ptCount val="3"/>
                <c:pt idx="0">
                  <c:v>132.69999999999999</c:v>
                </c:pt>
                <c:pt idx="1">
                  <c:v>88.6</c:v>
                </c:pt>
                <c:pt idx="2">
                  <c:v>10</c:v>
                </c:pt>
              </c:numCache>
            </c:numRef>
          </c:val>
          <c:extLst>
            <c:ext xmlns:c16="http://schemas.microsoft.com/office/drawing/2014/chart" uri="{C3380CC4-5D6E-409C-BE32-E72D297353CC}">
              <c16:uniqueId val="{00000006-97A4-46AB-84EC-99EC8C566E24}"/>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rgbClr val="003366"/>
              </a:solidFill>
            </c:spPr>
            <c:extLst>
              <c:ext xmlns:c16="http://schemas.microsoft.com/office/drawing/2014/chart" uri="{C3380CC4-5D6E-409C-BE32-E72D297353CC}">
                <c16:uniqueId val="{00000000-0A6B-4D5E-8A85-0CE69E039BD6}"/>
              </c:ext>
            </c:extLst>
          </c:dPt>
          <c:dPt>
            <c:idx val="1"/>
            <c:bubble3D val="0"/>
            <c:spPr>
              <a:solidFill>
                <a:srgbClr val="A50021"/>
              </a:solidFill>
            </c:spPr>
            <c:extLst>
              <c:ext xmlns:c16="http://schemas.microsoft.com/office/drawing/2014/chart" uri="{C3380CC4-5D6E-409C-BE32-E72D297353CC}">
                <c16:uniqueId val="{00000001-0A6B-4D5E-8A85-0CE69E039BD6}"/>
              </c:ext>
            </c:extLst>
          </c:dPt>
          <c:dPt>
            <c:idx val="2"/>
            <c:bubble3D val="0"/>
            <c:spPr>
              <a:solidFill>
                <a:schemeClr val="accent3">
                  <a:lumMod val="75000"/>
                </a:schemeClr>
              </a:solidFill>
            </c:spPr>
            <c:extLst>
              <c:ext xmlns:c16="http://schemas.microsoft.com/office/drawing/2014/chart" uri="{C3380CC4-5D6E-409C-BE32-E72D297353CC}">
                <c16:uniqueId val="{00000002-0A6B-4D5E-8A85-0CE69E039BD6}"/>
              </c:ext>
            </c:extLst>
          </c:dPt>
          <c:dPt>
            <c:idx val="3"/>
            <c:bubble3D val="0"/>
            <c:spPr>
              <a:solidFill>
                <a:schemeClr val="accent4">
                  <a:lumMod val="75000"/>
                </a:schemeClr>
              </a:solidFill>
            </c:spPr>
            <c:extLst>
              <c:ext xmlns:c16="http://schemas.microsoft.com/office/drawing/2014/chart" uri="{C3380CC4-5D6E-409C-BE32-E72D297353CC}">
                <c16:uniqueId val="{00000003-0A6B-4D5E-8A85-0CE69E039BD6}"/>
              </c:ext>
            </c:extLst>
          </c:dPt>
          <c:dPt>
            <c:idx val="4"/>
            <c:bubble3D val="0"/>
            <c:spPr>
              <a:solidFill>
                <a:srgbClr val="339966"/>
              </a:solidFill>
            </c:spPr>
            <c:extLst>
              <c:ext xmlns:c16="http://schemas.microsoft.com/office/drawing/2014/chart" uri="{C3380CC4-5D6E-409C-BE32-E72D297353CC}">
                <c16:uniqueId val="{00000004-0A6B-4D5E-8A85-0CE69E039BD6}"/>
              </c:ext>
            </c:extLst>
          </c:dPt>
          <c:dPt>
            <c:idx val="5"/>
            <c:bubble3D val="0"/>
            <c:spPr>
              <a:solidFill>
                <a:srgbClr val="FFC000"/>
              </a:solidFill>
            </c:spPr>
            <c:extLst>
              <c:ext xmlns:c16="http://schemas.microsoft.com/office/drawing/2014/chart" uri="{C3380CC4-5D6E-409C-BE32-E72D297353CC}">
                <c16:uniqueId val="{00000005-0A6B-4D5E-8A85-0CE69E039BD6}"/>
              </c:ext>
            </c:extLst>
          </c:dPt>
          <c:dPt>
            <c:idx val="6"/>
            <c:bubble3D val="0"/>
            <c:spPr>
              <a:solidFill>
                <a:schemeClr val="tx2">
                  <a:lumMod val="20000"/>
                  <a:lumOff val="80000"/>
                </a:schemeClr>
              </a:solidFill>
            </c:spPr>
            <c:extLst>
              <c:ext xmlns:c16="http://schemas.microsoft.com/office/drawing/2014/chart" uri="{C3380CC4-5D6E-409C-BE32-E72D297353CC}">
                <c16:uniqueId val="{00000006-0A6B-4D5E-8A85-0CE69E039BD6}"/>
              </c:ext>
            </c:extLst>
          </c:dPt>
          <c:dPt>
            <c:idx val="7"/>
            <c:bubble3D val="0"/>
            <c:spPr>
              <a:solidFill>
                <a:srgbClr val="FF5050"/>
              </a:solidFill>
            </c:spPr>
            <c:extLst>
              <c:ext xmlns:c16="http://schemas.microsoft.com/office/drawing/2014/chart" uri="{C3380CC4-5D6E-409C-BE32-E72D297353CC}">
                <c16:uniqueId val="{00000007-0A6B-4D5E-8A85-0CE69E039BD6}"/>
              </c:ext>
            </c:extLst>
          </c:dPt>
          <c:dPt>
            <c:idx val="8"/>
            <c:bubble3D val="0"/>
            <c:spPr>
              <a:solidFill>
                <a:srgbClr val="0070C0"/>
              </a:solidFill>
            </c:spPr>
            <c:extLst>
              <c:ext xmlns:c16="http://schemas.microsoft.com/office/drawing/2014/chart" uri="{C3380CC4-5D6E-409C-BE32-E72D297353CC}">
                <c16:uniqueId val="{00000008-0A6B-4D5E-8A85-0CE69E039BD6}"/>
              </c:ext>
            </c:extLst>
          </c:dPt>
          <c:dPt>
            <c:idx val="9"/>
            <c:bubble3D val="0"/>
            <c:spPr>
              <a:solidFill>
                <a:srgbClr val="660033"/>
              </a:solidFill>
            </c:spPr>
            <c:extLst>
              <c:ext xmlns:c16="http://schemas.microsoft.com/office/drawing/2014/chart" uri="{C3380CC4-5D6E-409C-BE32-E72D297353CC}">
                <c16:uniqueId val="{00000009-0A6B-4D5E-8A85-0CE69E039BD6}"/>
              </c:ext>
            </c:extLst>
          </c:dPt>
          <c:dPt>
            <c:idx val="10"/>
            <c:bubble3D val="0"/>
            <c:spPr>
              <a:solidFill>
                <a:schemeClr val="accent6"/>
              </a:solidFill>
            </c:spPr>
            <c:extLst>
              <c:ext xmlns:c16="http://schemas.microsoft.com/office/drawing/2014/chart" uri="{C3380CC4-5D6E-409C-BE32-E72D297353CC}">
                <c16:uniqueId val="{0000000A-0A6B-4D5E-8A85-0CE69E039BD6}"/>
              </c:ext>
            </c:extLst>
          </c:dPt>
          <c:dLbls>
            <c:dLbl>
              <c:idx val="0"/>
              <c:layout>
                <c:manualLayout>
                  <c:x val="-0.15442535795557524"/>
                  <c:y val="-7.4481993444115352E-2"/>
                </c:manualLayout>
              </c:layout>
              <c:tx>
                <c:rich>
                  <a:bodyPr/>
                  <a:lstStyle/>
                  <a:p>
                    <a:pPr>
                      <a:defRPr sz="1000" b="0" i="0" u="none" strike="noStrike" baseline="0">
                        <a:solidFill>
                          <a:srgbClr val="000000"/>
                        </a:solidFill>
                        <a:latin typeface="Calibri"/>
                        <a:ea typeface="Calibri"/>
                        <a:cs typeface="Calibri"/>
                      </a:defRPr>
                    </a:pPr>
                    <a:r>
                      <a:rPr lang="en-US" baseline="0"/>
                      <a:t>Inpatient Services, </a:t>
                    </a:r>
                    <a:fld id="{0EBB3BFA-977F-4B07-B26D-A0ECA03CB2F7}"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A6B-4D5E-8A85-0CE69E039BD6}"/>
                </c:ext>
              </c:extLst>
            </c:dLbl>
            <c:dLbl>
              <c:idx val="1"/>
              <c:layout>
                <c:manualLayout>
                  <c:x val="-7.887958284220313E-2"/>
                  <c:y val="5.8421079327948726E-3"/>
                </c:manualLayout>
              </c:layout>
              <c:tx>
                <c:rich>
                  <a:bodyPr/>
                  <a:lstStyle/>
                  <a:p>
                    <a:pPr>
                      <a:defRPr sz="1000" b="0" i="0" u="none" strike="noStrike" baseline="0">
                        <a:solidFill>
                          <a:srgbClr val="000000"/>
                        </a:solidFill>
                        <a:latin typeface="Calibri"/>
                        <a:ea typeface="Calibri"/>
                        <a:cs typeface="Calibri"/>
                      </a:defRPr>
                    </a:pPr>
                    <a:r>
                      <a:rPr lang="en-US" baseline="0"/>
                      <a:t>Long-Term Care, </a:t>
                    </a:r>
                    <a:fld id="{773940DF-9BD7-4B35-A044-CE24CE5460A3}"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6B-4D5E-8A85-0CE69E039BD6}"/>
                </c:ext>
              </c:extLst>
            </c:dLbl>
            <c:dLbl>
              <c:idx val="2"/>
              <c:layout>
                <c:manualLayout>
                  <c:x val="-0.10107626278704625"/>
                  <c:y val="9.6488320259702262E-2"/>
                </c:manualLayout>
              </c:layout>
              <c:tx>
                <c:rich>
                  <a:bodyPr/>
                  <a:lstStyle/>
                  <a:p>
                    <a:pPr>
                      <a:defRPr sz="1000" b="0" i="0" u="none" strike="noStrike" baseline="0">
                        <a:solidFill>
                          <a:srgbClr val="000000"/>
                        </a:solidFill>
                        <a:latin typeface="Calibri"/>
                        <a:ea typeface="Calibri"/>
                        <a:cs typeface="Calibri"/>
                      </a:defRPr>
                    </a:pPr>
                    <a:r>
                      <a:rPr lang="en-US" baseline="0"/>
                      <a:t>Physician, Laboratory, and Other Services, </a:t>
                    </a:r>
                    <a:fld id="{FA531E16-F909-402D-9B63-13E7878F208C}"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layout>
                    <c:manualLayout>
                      <c:w val="0.22972555366175601"/>
                      <c:h val="0.15903267511071353"/>
                    </c:manualLayout>
                  </c15:layout>
                  <c15:dlblFieldTable/>
                  <c15:showDataLabelsRange val="0"/>
                </c:ext>
                <c:ext xmlns:c16="http://schemas.microsoft.com/office/drawing/2014/chart" uri="{C3380CC4-5D6E-409C-BE32-E72D297353CC}">
                  <c16:uniqueId val="{00000002-0A6B-4D5E-8A85-0CE69E039BD6}"/>
                </c:ext>
              </c:extLst>
            </c:dLbl>
            <c:dLbl>
              <c:idx val="3"/>
              <c:layout>
                <c:manualLayout>
                  <c:x val="-8.2775737101124916E-2"/>
                  <c:y val="2.6965296446697477E-3"/>
                </c:manualLayout>
              </c:layout>
              <c:tx>
                <c:rich>
                  <a:bodyPr/>
                  <a:lstStyle/>
                  <a:p>
                    <a:pPr>
                      <a:defRPr sz="1000" b="0" i="0" u="none" strike="noStrike" baseline="0">
                        <a:solidFill>
                          <a:srgbClr val="000000"/>
                        </a:solidFill>
                        <a:latin typeface="Calibri"/>
                        <a:ea typeface="Calibri"/>
                        <a:cs typeface="Calibri"/>
                      </a:defRPr>
                    </a:pPr>
                    <a:r>
                      <a:rPr lang="en-US" baseline="0"/>
                      <a:t>Prescription Drugs, </a:t>
                    </a:r>
                    <a:fld id="{5522F498-CF6E-42E3-BB0A-699CFE7132C4}" type="VALUE">
                      <a:rPr lang="en-US" baseline="0"/>
                      <a:pPr>
                        <a:defRPr sz="1000" b="0" i="0" u="none" strike="noStrike" baseline="0">
                          <a:solidFill>
                            <a:srgbClr val="000000"/>
                          </a:solidFill>
                          <a:latin typeface="Calibri"/>
                          <a:ea typeface="Calibri"/>
                          <a:cs typeface="Calibri"/>
                        </a:defRPr>
                      </a:pPr>
                      <a:t>[VALUE]</a:t>
                    </a:fld>
                    <a:endParaRPr lang="en-US" baseline="0"/>
                  </a:p>
                </c:rich>
              </c:tx>
              <c:spPr/>
              <c:dLblPos val="bestFit"/>
              <c:showLegendKey val="0"/>
              <c:showVal val="1"/>
              <c:showCatName val="1"/>
              <c:showSerName val="0"/>
              <c:showPercent val="0"/>
              <c:showBubbleSize val="0"/>
              <c:extLst>
                <c:ext xmlns:c15="http://schemas.microsoft.com/office/drawing/2012/chart" uri="{CE6537A1-D6FC-4f65-9D91-7224C49458BB}">
                  <c15:layout>
                    <c:manualLayout>
                      <c:w val="0.15394094396651939"/>
                      <c:h val="0.14534339369762639"/>
                    </c:manualLayout>
                  </c15:layout>
                  <c15:dlblFieldTable/>
                  <c15:showDataLabelsRange val="0"/>
                </c:ext>
                <c:ext xmlns:c16="http://schemas.microsoft.com/office/drawing/2014/chart" uri="{C3380CC4-5D6E-409C-BE32-E72D297353CC}">
                  <c16:uniqueId val="{00000003-0A6B-4D5E-8A85-0CE69E039BD6}"/>
                </c:ext>
              </c:extLst>
            </c:dLbl>
            <c:dLbl>
              <c:idx val="4"/>
              <c:layout>
                <c:manualLayout>
                  <c:x val="3.9721257497720416E-2"/>
                  <c:y val="-8.5355046799521411E-2"/>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6B-4D5E-8A85-0CE69E039BD6}"/>
                </c:ext>
              </c:extLst>
            </c:dLbl>
            <c:dLbl>
              <c:idx val="5"/>
              <c:layout>
                <c:manualLayout>
                  <c:x val="-0.13086546435822469"/>
                  <c:y val="-3.2709881557861737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092080764956693"/>
                      <c:h val="0.1172422295065385"/>
                    </c:manualLayout>
                  </c15:layout>
                </c:ext>
                <c:ext xmlns:c16="http://schemas.microsoft.com/office/drawing/2014/chart" uri="{C3380CC4-5D6E-409C-BE32-E72D297353CC}">
                  <c16:uniqueId val="{00000005-0A6B-4D5E-8A85-0CE69E039BD6}"/>
                </c:ext>
              </c:extLst>
            </c:dLbl>
            <c:dLbl>
              <c:idx val="6"/>
              <c:layout>
                <c:manualLayout>
                  <c:x val="-1.3414328693374023E-2"/>
                  <c:y val="-7.3724504316478506E-2"/>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6B-4D5E-8A85-0CE69E039BD6}"/>
                </c:ext>
              </c:extLst>
            </c:dLbl>
            <c:dLbl>
              <c:idx val="7"/>
              <c:layout>
                <c:manualLayout>
                  <c:x val="-0.16753237655165135"/>
                  <c:y val="0.16869809948455239"/>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6B-4D5E-8A85-0CE69E039BD6}"/>
                </c:ext>
              </c:extLst>
            </c:dLbl>
            <c:dLbl>
              <c:idx val="8"/>
              <c:layout>
                <c:manualLayout>
                  <c:x val="8.1532098250058777E-2"/>
                  <c:y val="-7.6994592543401952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6B-4D5E-8A85-0CE69E039BD6}"/>
                </c:ext>
              </c:extLst>
            </c:dLbl>
            <c:dLbl>
              <c:idx val="9"/>
              <c:layout>
                <c:manualLayout>
                  <c:x val="2.8226307177781938E-2"/>
                  <c:y val="7.6036429181292097E-3"/>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6B-4D5E-8A85-0CE69E039BD6}"/>
                </c:ext>
              </c:extLst>
            </c:dLbl>
            <c:dLbl>
              <c:idx val="10"/>
              <c:layout>
                <c:manualLayout>
                  <c:x val="-0.11247203788740301"/>
                  <c:y val="-0.1962365999430794"/>
                </c:manualLayout>
              </c:layout>
              <c:spPr/>
              <c:txPr>
                <a:bodyPr/>
                <a:lstStyle/>
                <a:p>
                  <a:pPr>
                    <a:defRPr sz="1000" b="0" i="0" u="none" strike="noStrike" baseline="0">
                      <a:solidFill>
                        <a:srgbClr val="000000"/>
                      </a:solidFill>
                      <a:latin typeface="Calibri"/>
                      <a:ea typeface="Calibri"/>
                      <a:cs typeface="Calibri"/>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6B-4D5E-8A85-0CE69E039BD6}"/>
                </c:ext>
              </c:extLst>
            </c:dLbl>
            <c:spPr>
              <a:noFill/>
              <a:ln w="25400">
                <a:noFill/>
              </a:ln>
              <a:effectLst/>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'Medicaid &amp; CHIP Expenditures'!$A$6:$A$11</c:f>
              <c:strCache>
                <c:ptCount val="6"/>
                <c:pt idx="0">
                  <c:v>Inpatient Services6</c:v>
                </c:pt>
                <c:pt idx="1">
                  <c:v>Long-Term Care6</c:v>
                </c:pt>
                <c:pt idx="2">
                  <c:v>Physician, Laboratory and Other Services6</c:v>
                </c:pt>
                <c:pt idx="3">
                  <c:v>Prescription Drugs6</c:v>
                </c:pt>
                <c:pt idx="4">
                  <c:v>Managed Care</c:v>
                </c:pt>
                <c:pt idx="5">
                  <c:v>Administrative</c:v>
                </c:pt>
              </c:strCache>
            </c:strRef>
          </c:cat>
          <c:val>
            <c:numRef>
              <c:f>'Medicaid &amp; CHIP Expenditures'!$B$6:$B$11</c:f>
              <c:numCache>
                <c:formatCode>"$"#,##0.0</c:formatCode>
                <c:ptCount val="6"/>
                <c:pt idx="0">
                  <c:v>72.5</c:v>
                </c:pt>
                <c:pt idx="1">
                  <c:v>190.9</c:v>
                </c:pt>
                <c:pt idx="2">
                  <c:v>129.5</c:v>
                </c:pt>
                <c:pt idx="3">
                  <c:v>22.2</c:v>
                </c:pt>
                <c:pt idx="4">
                  <c:v>509</c:v>
                </c:pt>
                <c:pt idx="5">
                  <c:v>41.5</c:v>
                </c:pt>
              </c:numCache>
            </c:numRef>
          </c:val>
          <c:extLst>
            <c:ext xmlns:c16="http://schemas.microsoft.com/office/drawing/2014/chart" uri="{C3380CC4-5D6E-409C-BE32-E72D297353CC}">
              <c16:uniqueId val="{0000000B-0A6B-4D5E-8A85-0CE69E039BD6}"/>
            </c:ext>
          </c:extLst>
        </c:ser>
        <c:dLbls>
          <c:showLegendKey val="0"/>
          <c:showVal val="0"/>
          <c:showCatName val="0"/>
          <c:showSerName val="0"/>
          <c:showPercent val="0"/>
          <c:showBubbleSize val="0"/>
          <c:showLeaderLines val="1"/>
        </c:dLbls>
        <c:firstSliceAng val="190"/>
      </c:pieChart>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160020</xdr:rowOff>
    </xdr:from>
    <xdr:to>
      <xdr:col>5</xdr:col>
      <xdr:colOff>22860</xdr:colOff>
      <xdr:row>21</xdr:row>
      <xdr:rowOff>137160</xdr:rowOff>
    </xdr:to>
    <xdr:graphicFrame macro="">
      <xdr:nvGraphicFramePr>
        <xdr:cNvPr id="2" name="Chart 1" descr="Original Medicare Part A Persons Served: Inpatient Hospital Persons Served - 4.9 million, Skilled Nursing Facility Persons Served - 1.4 million, Home Health Agency Persons Served - 1.2 million, Hospice Persons Served - 1.8 million">
          <a:extLst>
            <a:ext uri="{FF2B5EF4-FFF2-40B4-BE49-F238E27FC236}">
              <a16:creationId xmlns:a16="http://schemas.microsoft.com/office/drawing/2014/main" id="{D893F4A2-0B28-41B0-95F5-D6C4B47E5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1645920</xdr:colOff>
      <xdr:row>3</xdr:row>
      <xdr:rowOff>152400</xdr:rowOff>
    </xdr:from>
    <xdr:to>
      <xdr:col>10</xdr:col>
      <xdr:colOff>289560</xdr:colOff>
      <xdr:row>20</xdr:row>
      <xdr:rowOff>152400</xdr:rowOff>
    </xdr:to>
    <xdr:graphicFrame macro="">
      <xdr:nvGraphicFramePr>
        <xdr:cNvPr id="3" name="Chart 6" descr="Original Medicare Part B Persons Served: Physician/DME Persons Served - 33.3 million, Outpatient Persons Served - 22.6 million, Home Health Agency Persons Served - 1.7 million">
          <a:extLst>
            <a:ext uri="{FF2B5EF4-FFF2-40B4-BE49-F238E27FC236}">
              <a16:creationId xmlns:a16="http://schemas.microsoft.com/office/drawing/2014/main" id="{C86D17A1-D96F-4CC4-8410-E1E3BD1AB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27</xdr:row>
      <xdr:rowOff>22860</xdr:rowOff>
    </xdr:from>
    <xdr:to>
      <xdr:col>5</xdr:col>
      <xdr:colOff>220980</xdr:colOff>
      <xdr:row>44</xdr:row>
      <xdr:rowOff>15240</xdr:rowOff>
    </xdr:to>
    <xdr:graphicFrame macro="">
      <xdr:nvGraphicFramePr>
        <xdr:cNvPr id="4" name="Chart 7" descr="Original Medicare Part A Program Payments: Inpatient Hospital Program Payments - $127.7 billion, Skilled Nursing Facility Program Payments - $29.0 billion, Home Health Agency Program Payments - $5.9 billion, Hospice Program Payments - $23.7 billion">
          <a:extLst>
            <a:ext uri="{FF2B5EF4-FFF2-40B4-BE49-F238E27FC236}">
              <a16:creationId xmlns:a16="http://schemas.microsoft.com/office/drawing/2014/main" id="{A2FBD1AD-8B46-498E-97E0-4842AB2ED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xdr:colOff>
      <xdr:row>26</xdr:row>
      <xdr:rowOff>99060</xdr:rowOff>
    </xdr:from>
    <xdr:to>
      <xdr:col>10</xdr:col>
      <xdr:colOff>297180</xdr:colOff>
      <xdr:row>43</xdr:row>
      <xdr:rowOff>91440</xdr:rowOff>
    </xdr:to>
    <xdr:graphicFrame macro="">
      <xdr:nvGraphicFramePr>
        <xdr:cNvPr id="5" name="Chart 8" descr="Original Medicare Part B Program Payments:  Physician/DME Program Payments - $116.4 billion, Outpatient Program Payments - $82.0 billion, Home Health Agency Program Payments - $10.2 billion">
          <a:extLst>
            <a:ext uri="{FF2B5EF4-FFF2-40B4-BE49-F238E27FC236}">
              <a16:creationId xmlns:a16="http://schemas.microsoft.com/office/drawing/2014/main" id="{28EDC975-7FE5-4876-9044-14FB3B8ED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1035686</xdr:colOff>
      <xdr:row>21</xdr:row>
      <xdr:rowOff>28575</xdr:rowOff>
    </xdr:from>
    <xdr:to>
      <xdr:col>6</xdr:col>
      <xdr:colOff>49529</xdr:colOff>
      <xdr:row>22</xdr:row>
      <xdr:rowOff>112395</xdr:rowOff>
    </xdr:to>
    <xdr:sp macro="" textlink="">
      <xdr:nvSpPr>
        <xdr:cNvPr id="6" name="TextBox 5" descr="Total Persons Served, 34.6 million&#10;">
          <a:extLst>
            <a:ext uri="{FF2B5EF4-FFF2-40B4-BE49-F238E27FC236}">
              <a16:creationId xmlns:a16="http://schemas.microsoft.com/office/drawing/2014/main" id="{C60B3691-D356-43F9-9434-E427AEB0B6AC}"/>
            </a:ext>
          </a:extLst>
        </xdr:cNvPr>
        <xdr:cNvSpPr txBox="1"/>
      </xdr:nvSpPr>
      <xdr:spPr>
        <a:xfrm>
          <a:off x="2248536" y="3568700"/>
          <a:ext cx="1855468" cy="248920"/>
        </a:xfrm>
        <a:prstGeom prst="rect">
          <a:avLst/>
        </a:prstGeom>
        <a:solidFill>
          <a:schemeClr val="accent1">
            <a:lumMod val="40000"/>
            <a:lumOff val="60000"/>
          </a:schemeClr>
        </a:solidFill>
        <a:ln w="1270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Total Persons Served, 29.8</a:t>
          </a:r>
          <a:r>
            <a:rPr lang="en-US" sz="900" baseline="0"/>
            <a:t> </a:t>
          </a:r>
          <a:r>
            <a:rPr lang="en-US" sz="900"/>
            <a:t>million</a:t>
          </a:r>
        </a:p>
      </xdr:txBody>
    </xdr:sp>
    <xdr:clientData/>
  </xdr:twoCellAnchor>
  <xdr:twoCellAnchor>
    <xdr:from>
      <xdr:col>4</xdr:col>
      <xdr:colOff>821372</xdr:colOff>
      <xdr:row>42</xdr:row>
      <xdr:rowOff>28575</xdr:rowOff>
    </xdr:from>
    <xdr:to>
      <xdr:col>7</xdr:col>
      <xdr:colOff>47679</xdr:colOff>
      <xdr:row>43</xdr:row>
      <xdr:rowOff>140919</xdr:rowOff>
    </xdr:to>
    <xdr:sp macro="" textlink="">
      <xdr:nvSpPr>
        <xdr:cNvPr id="7" name="TextBox 6">
          <a:extLst>
            <a:ext uri="{FF2B5EF4-FFF2-40B4-BE49-F238E27FC236}">
              <a16:creationId xmlns:a16="http://schemas.microsoft.com/office/drawing/2014/main" id="{92468607-E043-4C84-BAFE-B78454A6E2ED}"/>
            </a:ext>
          </a:extLst>
        </xdr:cNvPr>
        <xdr:cNvSpPr txBox="1"/>
      </xdr:nvSpPr>
      <xdr:spPr>
        <a:xfrm>
          <a:off x="2031047" y="6816725"/>
          <a:ext cx="2213982" cy="280619"/>
        </a:xfrm>
        <a:prstGeom prst="rect">
          <a:avLst/>
        </a:prstGeom>
        <a:solidFill>
          <a:schemeClr val="accent1">
            <a:lumMod val="40000"/>
            <a:lumOff val="60000"/>
          </a:schemeClr>
        </a:solidFill>
        <a:ln w="1270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900">
              <a:solidFill>
                <a:schemeClr val="dk1"/>
              </a:solidFill>
              <a:latin typeface="+mn-lt"/>
              <a:ea typeface="+mn-ea"/>
              <a:cs typeface="+mn-cs"/>
            </a:rPr>
            <a:t>Total Program Payments, $424.6 billion</a:t>
          </a:r>
        </a:p>
      </xdr:txBody>
    </xdr:sp>
    <xdr:clientData/>
  </xdr:twoCellAnchor>
  <xdr:twoCellAnchor>
    <xdr:from>
      <xdr:col>0</xdr:col>
      <xdr:colOff>28575</xdr:colOff>
      <xdr:row>44</xdr:row>
      <xdr:rowOff>150495</xdr:rowOff>
    </xdr:from>
    <xdr:to>
      <xdr:col>10</xdr:col>
      <xdr:colOff>323850</xdr:colOff>
      <xdr:row>46</xdr:row>
      <xdr:rowOff>19050</xdr:rowOff>
    </xdr:to>
    <xdr:sp macro="" textlink="">
      <xdr:nvSpPr>
        <xdr:cNvPr id="8" name="TextBox 7">
          <a:extLst>
            <a:ext uri="{FF2B5EF4-FFF2-40B4-BE49-F238E27FC236}">
              <a16:creationId xmlns:a16="http://schemas.microsoft.com/office/drawing/2014/main" id="{775AC8C3-DF97-4E26-8C92-622E9A360E80}"/>
            </a:ext>
          </a:extLst>
        </xdr:cNvPr>
        <xdr:cNvSpPr txBox="1"/>
      </xdr:nvSpPr>
      <xdr:spPr>
        <a:xfrm>
          <a:off x="25400" y="7265670"/>
          <a:ext cx="6299200" cy="192405"/>
        </a:xfrm>
        <a:prstGeom prst="rect">
          <a:avLst/>
        </a:prstGeom>
        <a:solidFill>
          <a:schemeClr val="accent1">
            <a:lumMod val="20000"/>
            <a:lumOff val="80000"/>
          </a:scheme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Total = Parts A and/or B</a:t>
          </a:r>
        </a:p>
        <a:p>
          <a:endParaRPr lang="en-US" sz="800"/>
        </a:p>
      </xdr:txBody>
    </xdr:sp>
    <xdr:clientData/>
  </xdr:twoCellAnchor>
  <xdr:twoCellAnchor>
    <xdr:from>
      <xdr:col>2</xdr:col>
      <xdr:colOff>79375</xdr:colOff>
      <xdr:row>2</xdr:row>
      <xdr:rowOff>160020</xdr:rowOff>
    </xdr:from>
    <xdr:to>
      <xdr:col>4</xdr:col>
      <xdr:colOff>1742939</xdr:colOff>
      <xdr:row>4</xdr:row>
      <xdr:rowOff>83820</xdr:rowOff>
    </xdr:to>
    <xdr:sp macro="" textlink="">
      <xdr:nvSpPr>
        <xdr:cNvPr id="9" name="TextBox 8">
          <a:extLst>
            <a:ext uri="{FF2B5EF4-FFF2-40B4-BE49-F238E27FC236}">
              <a16:creationId xmlns:a16="http://schemas.microsoft.com/office/drawing/2014/main" id="{64D3CC2C-33C1-4633-A970-3F8D0237F6F8}"/>
            </a:ext>
          </a:extLst>
        </xdr:cNvPr>
        <xdr:cNvSpPr txBox="1"/>
      </xdr:nvSpPr>
      <xdr:spPr>
        <a:xfrm>
          <a:off x="606425" y="534670"/>
          <a:ext cx="2349364" cy="257175"/>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A (Total 6.3 million)</a:t>
          </a:r>
          <a:endParaRPr lang="en-US" sz="1100" b="1">
            <a:solidFill>
              <a:sysClr val="windowText" lastClr="000000"/>
            </a:solidFill>
          </a:endParaRPr>
        </a:p>
      </xdr:txBody>
    </xdr:sp>
    <xdr:clientData/>
  </xdr:twoCellAnchor>
  <xdr:twoCellAnchor>
    <xdr:from>
      <xdr:col>5</xdr:col>
      <xdr:colOff>648335</xdr:colOff>
      <xdr:row>2</xdr:row>
      <xdr:rowOff>169545</xdr:rowOff>
    </xdr:from>
    <xdr:to>
      <xdr:col>10</xdr:col>
      <xdr:colOff>49542</xdr:colOff>
      <xdr:row>4</xdr:row>
      <xdr:rowOff>85725</xdr:rowOff>
    </xdr:to>
    <xdr:sp macro="" textlink="">
      <xdr:nvSpPr>
        <xdr:cNvPr id="10" name="TextBox 9">
          <a:extLst>
            <a:ext uri="{FF2B5EF4-FFF2-40B4-BE49-F238E27FC236}">
              <a16:creationId xmlns:a16="http://schemas.microsoft.com/office/drawing/2014/main" id="{812C27D4-C59C-433D-928C-B007BABC82B5}"/>
            </a:ext>
          </a:extLst>
        </xdr:cNvPr>
        <xdr:cNvSpPr txBox="1"/>
      </xdr:nvSpPr>
      <xdr:spPr>
        <a:xfrm>
          <a:off x="3658235" y="541020"/>
          <a:ext cx="2388882" cy="2463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B (Total 29.0 million)</a:t>
          </a:r>
          <a:endParaRPr lang="en-US" sz="1100" b="1">
            <a:solidFill>
              <a:sysClr val="windowText" lastClr="000000"/>
            </a:solidFill>
          </a:endParaRPr>
        </a:p>
      </xdr:txBody>
    </xdr:sp>
    <xdr:clientData/>
  </xdr:twoCellAnchor>
  <xdr:twoCellAnchor>
    <xdr:from>
      <xdr:col>1</xdr:col>
      <xdr:colOff>255905</xdr:colOff>
      <xdr:row>25</xdr:row>
      <xdr:rowOff>121920</xdr:rowOff>
    </xdr:from>
    <xdr:to>
      <xdr:col>4</xdr:col>
      <xdr:colOff>1505861</xdr:colOff>
      <xdr:row>27</xdr:row>
      <xdr:rowOff>38100</xdr:rowOff>
    </xdr:to>
    <xdr:sp macro="" textlink="">
      <xdr:nvSpPr>
        <xdr:cNvPr id="11" name="TextBox 10">
          <a:extLst>
            <a:ext uri="{FF2B5EF4-FFF2-40B4-BE49-F238E27FC236}">
              <a16:creationId xmlns:a16="http://schemas.microsoft.com/office/drawing/2014/main" id="{A095E8BF-7224-4A97-8F5D-22BB71B07939}"/>
            </a:ext>
          </a:extLst>
        </xdr:cNvPr>
        <xdr:cNvSpPr txBox="1"/>
      </xdr:nvSpPr>
      <xdr:spPr>
        <a:xfrm>
          <a:off x="363855" y="4363720"/>
          <a:ext cx="2351681" cy="2463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A (Total $193.6 billion)</a:t>
          </a:r>
          <a:endParaRPr lang="en-US" sz="1100" b="1">
            <a:solidFill>
              <a:sysClr val="windowText" lastClr="000000"/>
            </a:solidFill>
          </a:endParaRPr>
        </a:p>
      </xdr:txBody>
    </xdr:sp>
    <xdr:clientData/>
  </xdr:twoCellAnchor>
  <xdr:twoCellAnchor>
    <xdr:from>
      <xdr:col>5</xdr:col>
      <xdr:colOff>411480</xdr:colOff>
      <xdr:row>25</xdr:row>
      <xdr:rowOff>131445</xdr:rowOff>
    </xdr:from>
    <xdr:to>
      <xdr:col>9</xdr:col>
      <xdr:colOff>146092</xdr:colOff>
      <xdr:row>27</xdr:row>
      <xdr:rowOff>47625</xdr:rowOff>
    </xdr:to>
    <xdr:sp macro="" textlink="">
      <xdr:nvSpPr>
        <xdr:cNvPr id="12" name="TextBox 11">
          <a:extLst>
            <a:ext uri="{FF2B5EF4-FFF2-40B4-BE49-F238E27FC236}">
              <a16:creationId xmlns:a16="http://schemas.microsoft.com/office/drawing/2014/main" id="{CA3EA22F-A095-45FE-AD89-EC229AE75D0C}"/>
            </a:ext>
          </a:extLst>
        </xdr:cNvPr>
        <xdr:cNvSpPr txBox="1"/>
      </xdr:nvSpPr>
      <xdr:spPr>
        <a:xfrm>
          <a:off x="3418205" y="4370070"/>
          <a:ext cx="2392087" cy="2463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Part</a:t>
          </a:r>
          <a:r>
            <a:rPr lang="en-US" sz="1100" b="1" baseline="0">
              <a:solidFill>
                <a:sysClr val="windowText" lastClr="000000"/>
              </a:solidFill>
            </a:rPr>
            <a:t> B (Total $231.0 billion)</a:t>
          </a:r>
          <a:endParaRPr lang="en-US" sz="11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12064</xdr:colOff>
      <xdr:row>2</xdr:row>
      <xdr:rowOff>10795</xdr:rowOff>
    </xdr:from>
    <xdr:to>
      <xdr:col>10</xdr:col>
      <xdr:colOff>76199</xdr:colOff>
      <xdr:row>21</xdr:row>
      <xdr:rowOff>276225</xdr:rowOff>
    </xdr:to>
    <xdr:graphicFrame macro="">
      <xdr:nvGraphicFramePr>
        <xdr:cNvPr id="1646152" name="Chart 4" descr="Medicaid and CHIP Payments: Inpatient Service Payments - $64.0 billion, Long-Term Care Payments - $130.0 billion, Physician, Laboratory and Other Payments - $96.0 billion, Prescription Drug Payments - $6.0 billion, Managed Care Payments - $310.0 billion, Administrative Payments - $30.0 billion">
          <a:extLst>
            <a:ext uri="{FF2B5EF4-FFF2-40B4-BE49-F238E27FC236}">
              <a16:creationId xmlns:a16="http://schemas.microsoft.com/office/drawing/2014/main" id="{00000000-0008-0000-0600-0000481E1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421217</xdr:colOff>
      <xdr:row>20</xdr:row>
      <xdr:rowOff>134620</xdr:rowOff>
    </xdr:from>
    <xdr:to>
      <xdr:col>9</xdr:col>
      <xdr:colOff>208498</xdr:colOff>
      <xdr:row>21</xdr:row>
      <xdr:rowOff>178024</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3431117" y="3430270"/>
          <a:ext cx="2444756" cy="205329"/>
        </a:xfrm>
        <a:prstGeom prst="rect">
          <a:avLst/>
        </a:prstGeom>
        <a:solidFill>
          <a:schemeClr val="accent1">
            <a:lumMod val="40000"/>
            <a:lumOff val="60000"/>
          </a:schemeClr>
        </a:solidFill>
        <a:ln w="12700"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dk1"/>
              </a:solidFill>
              <a:latin typeface="+mn-lt"/>
              <a:ea typeface="+mn-ea"/>
              <a:cs typeface="+mn-cs"/>
            </a:rPr>
            <a:t>Total Medicaid &amp; CHIP Payments, $977.4 billion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N35"/>
  <sheetViews>
    <sheetView showGridLines="0" tabSelected="1" zoomScaleNormal="100" workbookViewId="0"/>
  </sheetViews>
  <sheetFormatPr defaultColWidth="9.21875" defaultRowHeight="13.8" x14ac:dyDescent="0.3"/>
  <cols>
    <col min="1" max="1" width="29.77734375" style="2" customWidth="1"/>
    <col min="2" max="2" width="8.77734375" style="1" customWidth="1"/>
    <col min="3" max="3" width="7.44140625" style="1" bestFit="1" customWidth="1"/>
    <col min="4" max="4" width="8.21875" style="1" customWidth="1"/>
    <col min="5" max="5" width="8.21875" style="2" bestFit="1" customWidth="1"/>
    <col min="6" max="6" width="4.77734375" style="2" customWidth="1"/>
    <col min="7" max="7" width="3.21875" style="2" customWidth="1"/>
    <col min="8" max="11" width="9.21875" style="2"/>
    <col min="12" max="12" width="14.77734375" style="2" customWidth="1"/>
    <col min="13" max="13" width="13.77734375" style="2" customWidth="1"/>
    <col min="14" max="16384" width="9.21875" style="2"/>
  </cols>
  <sheetData>
    <row r="1" spans="1:14" s="59" customFormat="1" ht="16.8" thickBot="1" x14ac:dyDescent="0.35">
      <c r="A1" s="60" t="s">
        <v>87</v>
      </c>
      <c r="B1" s="60"/>
      <c r="C1" s="60"/>
      <c r="D1" s="61"/>
      <c r="E1" s="61"/>
      <c r="F1" s="61"/>
      <c r="G1" s="61"/>
    </row>
    <row r="2" spans="1:14" ht="14.4" thickTop="1" x14ac:dyDescent="0.3">
      <c r="A2" s="1"/>
      <c r="C2" s="3"/>
      <c r="E2" s="1"/>
    </row>
    <row r="3" spans="1:14" s="4" customFormat="1" ht="15" x14ac:dyDescent="0.3">
      <c r="A3" s="11" t="s">
        <v>3</v>
      </c>
      <c r="B3" s="11"/>
      <c r="C3" s="12" t="s">
        <v>122</v>
      </c>
      <c r="D3" s="12" t="s">
        <v>134</v>
      </c>
      <c r="E3" s="12" t="s">
        <v>151</v>
      </c>
      <c r="I3"/>
    </row>
    <row r="4" spans="1:14" s="4" customFormat="1" x14ac:dyDescent="0.3">
      <c r="A4" s="10" t="s">
        <v>4</v>
      </c>
      <c r="B4" s="10"/>
      <c r="C4" s="83">
        <v>66.5</v>
      </c>
      <c r="D4" s="83">
        <v>68</v>
      </c>
      <c r="E4" s="83">
        <v>69.400000000000006</v>
      </c>
      <c r="I4"/>
      <c r="K4"/>
      <c r="L4"/>
      <c r="M4"/>
      <c r="N4"/>
    </row>
    <row r="5" spans="1:14" x14ac:dyDescent="0.3">
      <c r="A5" s="10" t="s">
        <v>5</v>
      </c>
      <c r="B5" s="10"/>
      <c r="C5" s="83">
        <v>59</v>
      </c>
      <c r="D5" s="83">
        <v>60.8</v>
      </c>
      <c r="E5" s="83">
        <v>62.4</v>
      </c>
      <c r="I5"/>
      <c r="J5" s="82"/>
      <c r="K5"/>
      <c r="L5" s="82"/>
      <c r="M5" s="82"/>
      <c r="N5" s="82"/>
    </row>
    <row r="6" spans="1:14" ht="13.8" customHeight="1" x14ac:dyDescent="0.3">
      <c r="A6" s="10" t="s">
        <v>6</v>
      </c>
      <c r="B6" s="10"/>
      <c r="C6" s="83">
        <v>7.5</v>
      </c>
      <c r="D6" s="83">
        <v>7.2</v>
      </c>
      <c r="E6" s="83">
        <v>6.9</v>
      </c>
      <c r="I6"/>
      <c r="J6" s="82"/>
      <c r="K6"/>
      <c r="L6" s="82"/>
      <c r="M6" s="82"/>
      <c r="N6" s="82"/>
    </row>
    <row r="7" spans="1:14" x14ac:dyDescent="0.3">
      <c r="A7" s="10" t="s">
        <v>114</v>
      </c>
      <c r="B7" s="10"/>
      <c r="C7" s="83">
        <v>34.4</v>
      </c>
      <c r="D7" s="83">
        <v>33.9</v>
      </c>
      <c r="E7" s="83">
        <v>34</v>
      </c>
      <c r="I7"/>
      <c r="J7" s="82"/>
      <c r="K7"/>
      <c r="L7" s="82"/>
      <c r="M7" s="82"/>
      <c r="N7" s="82"/>
    </row>
    <row r="8" spans="1:14" x14ac:dyDescent="0.3">
      <c r="A8" s="10" t="s">
        <v>115</v>
      </c>
      <c r="B8" s="10"/>
      <c r="C8" s="83">
        <v>32.1</v>
      </c>
      <c r="D8" s="83">
        <v>34.1</v>
      </c>
      <c r="E8" s="83">
        <v>35.299999999999997</v>
      </c>
      <c r="I8"/>
      <c r="J8" s="82"/>
      <c r="K8"/>
      <c r="L8" s="82"/>
      <c r="M8" s="82"/>
      <c r="N8" s="82"/>
    </row>
    <row r="9" spans="1:14" x14ac:dyDescent="0.3">
      <c r="A9" s="10" t="s">
        <v>7</v>
      </c>
      <c r="B9" s="10"/>
      <c r="C9" s="99">
        <v>31.6</v>
      </c>
      <c r="D9" s="99">
        <v>33.6</v>
      </c>
      <c r="E9" s="99">
        <v>34.9</v>
      </c>
      <c r="I9"/>
      <c r="J9" s="82"/>
      <c r="K9"/>
      <c r="L9" s="82"/>
      <c r="M9" s="82"/>
      <c r="N9" s="82"/>
    </row>
    <row r="10" spans="1:14" x14ac:dyDescent="0.3">
      <c r="A10" s="10" t="s">
        <v>121</v>
      </c>
      <c r="B10" s="10"/>
      <c r="C10" s="83">
        <v>51.9</v>
      </c>
      <c r="D10" s="83">
        <v>54.4</v>
      </c>
      <c r="E10" s="83">
        <v>56</v>
      </c>
      <c r="I10"/>
      <c r="J10" s="82"/>
      <c r="K10"/>
      <c r="L10" s="82"/>
      <c r="M10" s="82"/>
      <c r="N10" s="82"/>
    </row>
    <row r="11" spans="1:14" x14ac:dyDescent="0.3">
      <c r="B11" s="2"/>
      <c r="C11" s="2"/>
      <c r="D11" s="2"/>
      <c r="I11"/>
    </row>
    <row r="12" spans="1:14" ht="15" x14ac:dyDescent="0.3">
      <c r="A12" s="11" t="s">
        <v>175</v>
      </c>
      <c r="B12" s="11"/>
      <c r="C12" s="12">
        <v>2023</v>
      </c>
      <c r="D12" s="12">
        <v>2024</v>
      </c>
      <c r="E12" s="12">
        <v>2025</v>
      </c>
      <c r="I12"/>
    </row>
    <row r="13" spans="1:14" ht="15" x14ac:dyDescent="0.3">
      <c r="A13" s="10" t="s">
        <v>135</v>
      </c>
      <c r="B13" s="10"/>
      <c r="C13" s="83">
        <v>85.7</v>
      </c>
      <c r="D13" s="83">
        <v>79.099999999999994</v>
      </c>
      <c r="E13" s="83">
        <v>78.8</v>
      </c>
      <c r="I13"/>
    </row>
    <row r="14" spans="1:14" ht="15" x14ac:dyDescent="0.3">
      <c r="A14" s="131" t="s">
        <v>152</v>
      </c>
      <c r="B14" s="132"/>
      <c r="C14" s="83">
        <v>9.1</v>
      </c>
      <c r="D14" s="83">
        <v>8.6999999999999993</v>
      </c>
      <c r="E14" s="100" t="s">
        <v>132</v>
      </c>
      <c r="I14"/>
    </row>
    <row r="15" spans="1:14" x14ac:dyDescent="0.3">
      <c r="A15" s="74" t="s">
        <v>126</v>
      </c>
      <c r="B15" s="74"/>
      <c r="C15" s="83">
        <v>38.6</v>
      </c>
      <c r="D15" s="83">
        <v>37.6</v>
      </c>
      <c r="E15" s="83">
        <v>37.5</v>
      </c>
      <c r="I15"/>
    </row>
    <row r="16" spans="1:14" x14ac:dyDescent="0.3">
      <c r="A16" s="10" t="s">
        <v>127</v>
      </c>
      <c r="B16" s="10"/>
      <c r="C16" s="83">
        <v>22.7</v>
      </c>
      <c r="D16" s="83">
        <v>20.9</v>
      </c>
      <c r="E16" s="100" t="s">
        <v>132</v>
      </c>
      <c r="I16"/>
    </row>
    <row r="17" spans="1:7" x14ac:dyDescent="0.3">
      <c r="A17" s="70"/>
      <c r="B17" s="70"/>
      <c r="C17" s="2"/>
      <c r="D17" s="2"/>
    </row>
    <row r="18" spans="1:7" ht="4.5" customHeight="1" x14ac:dyDescent="0.3">
      <c r="A18" s="7"/>
      <c r="B18" s="7"/>
      <c r="C18" s="7"/>
      <c r="D18" s="7"/>
      <c r="E18" s="7"/>
      <c r="F18" s="7"/>
      <c r="G18" s="7"/>
    </row>
    <row r="19" spans="1:7" ht="15" customHeight="1" x14ac:dyDescent="0.3">
      <c r="A19" s="80" t="s">
        <v>98</v>
      </c>
      <c r="B19" s="7"/>
      <c r="C19" s="7"/>
      <c r="D19" s="7"/>
      <c r="E19" s="7"/>
      <c r="F19" s="7"/>
      <c r="G19" s="7"/>
    </row>
    <row r="20" spans="1:7" ht="15" customHeight="1" x14ac:dyDescent="0.3">
      <c r="A20" s="80" t="s">
        <v>118</v>
      </c>
      <c r="B20" s="7"/>
      <c r="C20" s="7"/>
      <c r="D20" s="7"/>
      <c r="E20" s="7"/>
      <c r="F20" s="7"/>
      <c r="G20" s="7"/>
    </row>
    <row r="21" spans="1:7" ht="36" customHeight="1" x14ac:dyDescent="0.3">
      <c r="A21" s="134" t="s">
        <v>129</v>
      </c>
      <c r="B21" s="134"/>
      <c r="C21" s="134"/>
      <c r="D21" s="134"/>
      <c r="E21" s="134"/>
      <c r="F21" s="134"/>
      <c r="G21" s="134"/>
    </row>
    <row r="22" spans="1:7" ht="12.75" customHeight="1" x14ac:dyDescent="0.3">
      <c r="A22" s="133" t="s">
        <v>153</v>
      </c>
      <c r="B22" s="96"/>
      <c r="C22" s="96"/>
      <c r="D22" s="96"/>
      <c r="E22" s="96"/>
      <c r="F22" s="96"/>
      <c r="G22" s="96"/>
    </row>
    <row r="23" spans="1:7" ht="12.75" customHeight="1" x14ac:dyDescent="0.3">
      <c r="A23" s="97" t="s">
        <v>133</v>
      </c>
      <c r="B23" s="96"/>
      <c r="C23" s="96"/>
      <c r="D23" s="96"/>
      <c r="E23" s="96"/>
      <c r="F23" s="96"/>
      <c r="G23" s="96"/>
    </row>
    <row r="24" spans="1:7" ht="4.5" customHeight="1" x14ac:dyDescent="0.3">
      <c r="A24" s="96"/>
      <c r="B24" s="96"/>
      <c r="C24" s="96"/>
      <c r="D24" s="96"/>
      <c r="E24" s="96"/>
      <c r="F24" s="96"/>
      <c r="G24" s="96"/>
    </row>
    <row r="25" spans="1:7" ht="12.75" customHeight="1" x14ac:dyDescent="0.3">
      <c r="A25" s="94"/>
      <c r="B25" s="95"/>
      <c r="C25" s="95"/>
      <c r="D25" s="95"/>
      <c r="E25" s="95"/>
      <c r="F25" s="95"/>
      <c r="G25" s="95"/>
    </row>
    <row r="26" spans="1:7" ht="2.5499999999999998" customHeight="1" x14ac:dyDescent="0.3">
      <c r="A26" s="80"/>
      <c r="B26" s="7"/>
      <c r="C26" s="7"/>
      <c r="D26" s="7"/>
      <c r="E26" s="7"/>
      <c r="F26" s="7"/>
      <c r="G26" s="7"/>
    </row>
    <row r="27" spans="1:7" ht="22.05" customHeight="1" x14ac:dyDescent="0.3">
      <c r="A27" s="135" t="s">
        <v>140</v>
      </c>
      <c r="B27" s="135"/>
      <c r="C27" s="135"/>
      <c r="D27" s="135"/>
      <c r="E27" s="135"/>
      <c r="F27" s="135"/>
      <c r="G27" s="135"/>
    </row>
    <row r="28" spans="1:7" ht="2.5499999999999998" customHeight="1" x14ac:dyDescent="0.3">
      <c r="A28" s="75"/>
      <c r="B28" s="7"/>
      <c r="C28" s="7"/>
      <c r="D28" s="7"/>
      <c r="E28" s="7"/>
      <c r="F28" s="7"/>
      <c r="G28" s="7"/>
    </row>
    <row r="29" spans="1:7" ht="12.75" customHeight="1" thickBot="1" x14ac:dyDescent="0.35">
      <c r="A29" s="94"/>
      <c r="B29" s="95"/>
      <c r="C29" s="95"/>
      <c r="D29" s="95"/>
      <c r="E29" s="95"/>
      <c r="F29" s="95"/>
      <c r="G29" s="95"/>
    </row>
    <row r="30" spans="1:7" x14ac:dyDescent="0.3">
      <c r="A30" s="15" t="s">
        <v>0</v>
      </c>
      <c r="B30" s="16"/>
      <c r="C30" s="16"/>
      <c r="D30" s="16"/>
      <c r="E30" s="16"/>
      <c r="F30" s="16"/>
      <c r="G30" s="17"/>
    </row>
    <row r="31" spans="1:7" x14ac:dyDescent="0.3">
      <c r="A31" s="21" t="s">
        <v>141</v>
      </c>
      <c r="B31" s="7"/>
      <c r="C31" s="7"/>
      <c r="D31" s="7"/>
      <c r="E31" s="7"/>
      <c r="F31" s="7"/>
      <c r="G31" s="22"/>
    </row>
    <row r="32" spans="1:7" x14ac:dyDescent="0.3">
      <c r="A32" s="21" t="s">
        <v>1</v>
      </c>
      <c r="B32" s="7"/>
      <c r="C32" s="7"/>
      <c r="D32" s="7"/>
      <c r="E32" s="7"/>
      <c r="F32" s="7"/>
      <c r="G32" s="22"/>
    </row>
    <row r="33" spans="1:7" ht="14.4" thickBot="1" x14ac:dyDescent="0.35">
      <c r="A33" s="18" t="s">
        <v>2</v>
      </c>
      <c r="B33" s="19"/>
      <c r="C33" s="19"/>
      <c r="D33" s="19"/>
      <c r="E33" s="19"/>
      <c r="F33" s="19"/>
      <c r="G33" s="20"/>
    </row>
    <row r="34" spans="1:7" ht="14.4" thickBot="1" x14ac:dyDescent="0.35">
      <c r="A34" s="14"/>
      <c r="B34" s="14"/>
      <c r="C34" s="14"/>
      <c r="D34" s="13"/>
      <c r="E34" s="13"/>
      <c r="F34" s="13"/>
      <c r="G34" s="13"/>
    </row>
    <row r="35" spans="1:7" ht="14.4" thickTop="1" x14ac:dyDescent="0.3">
      <c r="A35" s="2" t="s">
        <v>128</v>
      </c>
    </row>
  </sheetData>
  <mergeCells count="2">
    <mergeCell ref="A21:G21"/>
    <mergeCell ref="A27:G27"/>
  </mergeCells>
  <phoneticPr fontId="3" type="noConversion"/>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J31"/>
  <sheetViews>
    <sheetView showGridLines="0" zoomScaleNormal="100" workbookViewId="0"/>
  </sheetViews>
  <sheetFormatPr defaultColWidth="9.21875" defaultRowHeight="13.8" x14ac:dyDescent="0.3"/>
  <cols>
    <col min="1" max="1" width="27.77734375" style="2" customWidth="1"/>
    <col min="2" max="3" width="15" style="1" bestFit="1" customWidth="1"/>
    <col min="4" max="16384" width="9.21875" style="2"/>
  </cols>
  <sheetData>
    <row r="1" spans="1:10" s="59" customFormat="1" ht="15" thickBot="1" x14ac:dyDescent="0.35">
      <c r="A1" s="60" t="s">
        <v>8</v>
      </c>
      <c r="B1" s="60"/>
      <c r="C1" s="61"/>
    </row>
    <row r="2" spans="1:10" ht="14.4" thickTop="1" x14ac:dyDescent="0.3">
      <c r="A2" s="8"/>
      <c r="B2" s="9"/>
      <c r="C2" s="8"/>
    </row>
    <row r="3" spans="1:10" s="4" customFormat="1" x14ac:dyDescent="0.3">
      <c r="A3" s="29"/>
      <c r="B3" s="64" t="s">
        <v>142</v>
      </c>
      <c r="C3" s="64" t="s">
        <v>154</v>
      </c>
    </row>
    <row r="4" spans="1:10" s="4" customFormat="1" x14ac:dyDescent="0.3">
      <c r="A4" s="11" t="s">
        <v>10</v>
      </c>
      <c r="B4" s="11"/>
      <c r="C4" s="11"/>
    </row>
    <row r="5" spans="1:10" s="4" customFormat="1" ht="14.4" x14ac:dyDescent="0.3">
      <c r="A5" s="25" t="s">
        <v>11</v>
      </c>
      <c r="B5" s="26"/>
      <c r="C5" s="26"/>
    </row>
    <row r="6" spans="1:10" ht="14.4" x14ac:dyDescent="0.3">
      <c r="A6" s="29" t="s">
        <v>14</v>
      </c>
      <c r="B6" s="55">
        <v>1676</v>
      </c>
      <c r="C6" s="55">
        <v>1736</v>
      </c>
    </row>
    <row r="7" spans="1:10" ht="14.4" x14ac:dyDescent="0.3">
      <c r="A7" s="29" t="s">
        <v>138</v>
      </c>
      <c r="B7" s="55">
        <v>419</v>
      </c>
      <c r="C7" s="55">
        <v>434</v>
      </c>
    </row>
    <row r="8" spans="1:10" ht="14.4" x14ac:dyDescent="0.3">
      <c r="A8" s="29" t="s">
        <v>12</v>
      </c>
      <c r="B8" s="55">
        <v>838</v>
      </c>
      <c r="C8" s="55">
        <v>868</v>
      </c>
    </row>
    <row r="9" spans="1:10" ht="14.4" x14ac:dyDescent="0.3">
      <c r="A9" s="29" t="s">
        <v>139</v>
      </c>
      <c r="B9" s="55">
        <v>209.5</v>
      </c>
      <c r="C9" s="55">
        <v>217</v>
      </c>
    </row>
    <row r="10" spans="1:10" ht="14.4" x14ac:dyDescent="0.3">
      <c r="A10" s="25"/>
      <c r="B10" s="26"/>
      <c r="C10" s="26"/>
    </row>
    <row r="11" spans="1:10" x14ac:dyDescent="0.3">
      <c r="A11" s="11" t="s">
        <v>13</v>
      </c>
      <c r="B11" s="11"/>
      <c r="C11" s="11"/>
    </row>
    <row r="12" spans="1:10" ht="14.4" x14ac:dyDescent="0.3">
      <c r="A12" s="29" t="s">
        <v>14</v>
      </c>
      <c r="B12" s="55">
        <v>257</v>
      </c>
      <c r="C12" s="55">
        <v>283</v>
      </c>
      <c r="J12"/>
    </row>
    <row r="13" spans="1:10" ht="14.4" x14ac:dyDescent="0.3">
      <c r="A13" s="25"/>
      <c r="B13" s="27"/>
      <c r="C13" s="27"/>
    </row>
    <row r="14" spans="1:10" x14ac:dyDescent="0.3">
      <c r="A14" s="11" t="s">
        <v>15</v>
      </c>
      <c r="B14" s="11"/>
      <c r="C14" s="11"/>
    </row>
    <row r="15" spans="1:10" ht="14.4" x14ac:dyDescent="0.3">
      <c r="A15" s="72" t="s">
        <v>16</v>
      </c>
      <c r="B15" s="55">
        <v>590</v>
      </c>
      <c r="C15" s="55">
        <v>615</v>
      </c>
    </row>
    <row r="16" spans="1:10" ht="14.4" x14ac:dyDescent="0.3">
      <c r="A16" s="29" t="s">
        <v>17</v>
      </c>
      <c r="B16" s="129" t="s">
        <v>149</v>
      </c>
      <c r="C16" s="129" t="s">
        <v>149</v>
      </c>
    </row>
    <row r="17" spans="1:3" ht="14.4" x14ac:dyDescent="0.3">
      <c r="A17" s="29" t="s">
        <v>18</v>
      </c>
      <c r="B17" s="129">
        <v>2000</v>
      </c>
      <c r="C17" s="129">
        <v>2100</v>
      </c>
    </row>
    <row r="18" spans="1:3" x14ac:dyDescent="0.3">
      <c r="A18" s="25"/>
      <c r="B18" s="28"/>
      <c r="C18" s="28"/>
    </row>
    <row r="19" spans="1:3" x14ac:dyDescent="0.3">
      <c r="A19" s="11" t="s">
        <v>19</v>
      </c>
      <c r="B19" s="11"/>
      <c r="C19" s="11"/>
    </row>
    <row r="20" spans="1:3" ht="14.4" x14ac:dyDescent="0.3">
      <c r="A20" s="29" t="s">
        <v>136</v>
      </c>
      <c r="B20" s="55">
        <v>285</v>
      </c>
      <c r="C20" s="55">
        <v>311</v>
      </c>
    </row>
    <row r="21" spans="1:3" ht="14.4" x14ac:dyDescent="0.3">
      <c r="A21" s="29" t="s">
        <v>137</v>
      </c>
      <c r="B21" s="55">
        <v>518</v>
      </c>
      <c r="C21" s="55">
        <v>565</v>
      </c>
    </row>
    <row r="22" spans="1:3" ht="14.4" x14ac:dyDescent="0.3">
      <c r="A22" s="29" t="s">
        <v>13</v>
      </c>
      <c r="B22" s="50" t="s">
        <v>143</v>
      </c>
      <c r="C22" s="50" t="s">
        <v>155</v>
      </c>
    </row>
    <row r="23" spans="1:3" ht="14.4" x14ac:dyDescent="0.3">
      <c r="A23" s="72"/>
      <c r="B23" s="73"/>
      <c r="C23" s="24"/>
    </row>
    <row r="24" spans="1:3" ht="3" customHeight="1" x14ac:dyDescent="0.3">
      <c r="A24" s="68"/>
      <c r="B24" s="69"/>
      <c r="C24" s="69"/>
    </row>
    <row r="25" spans="1:3" ht="47.4" customHeight="1" x14ac:dyDescent="0.3">
      <c r="A25" s="136" t="s">
        <v>150</v>
      </c>
      <c r="B25" s="136"/>
      <c r="C25" s="136"/>
    </row>
    <row r="26" spans="1:3" ht="3.6" customHeight="1" x14ac:dyDescent="0.3">
      <c r="A26" s="68"/>
      <c r="B26" s="69"/>
      <c r="C26" s="69"/>
    </row>
    <row r="27" spans="1:3" ht="14.4" thickBot="1" x14ac:dyDescent="0.35">
      <c r="B27" s="2"/>
      <c r="C27" s="2"/>
    </row>
    <row r="28" spans="1:3" ht="12.75" customHeight="1" x14ac:dyDescent="0.3">
      <c r="A28" s="15" t="s">
        <v>83</v>
      </c>
      <c r="B28" s="16"/>
      <c r="C28" s="17"/>
    </row>
    <row r="29" spans="1:3" ht="14.4" thickBot="1" x14ac:dyDescent="0.35">
      <c r="A29" s="18" t="s">
        <v>84</v>
      </c>
      <c r="B29" s="19"/>
      <c r="C29" s="20"/>
    </row>
    <row r="30" spans="1:3" x14ac:dyDescent="0.3">
      <c r="A30" s="1"/>
      <c r="C30" s="2"/>
    </row>
    <row r="31" spans="1:3" x14ac:dyDescent="0.3">
      <c r="A31" s="2" t="s">
        <v>148</v>
      </c>
    </row>
  </sheetData>
  <mergeCells count="1">
    <mergeCell ref="A25:C25"/>
  </mergeCells>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D24"/>
  <sheetViews>
    <sheetView showGridLines="0" zoomScaleNormal="100" workbookViewId="0"/>
  </sheetViews>
  <sheetFormatPr defaultColWidth="9.21875" defaultRowHeight="13.8" x14ac:dyDescent="0.3"/>
  <cols>
    <col min="1" max="1" width="25" style="2" customWidth="1"/>
    <col min="2" max="2" width="17.5546875" style="1" customWidth="1"/>
    <col min="3" max="3" width="3.21875" style="1" customWidth="1"/>
    <col min="4" max="4" width="15.5546875" style="1" customWidth="1"/>
    <col min="5" max="16384" width="9.21875" style="2"/>
  </cols>
  <sheetData>
    <row r="1" spans="1:4" s="59" customFormat="1" ht="14.4" x14ac:dyDescent="0.3">
      <c r="A1" s="62" t="s">
        <v>116</v>
      </c>
      <c r="B1" s="62"/>
      <c r="C1" s="62"/>
    </row>
    <row r="2" spans="1:4" s="59" customFormat="1" ht="15" thickBot="1" x14ac:dyDescent="0.35">
      <c r="A2" s="60" t="s">
        <v>156</v>
      </c>
      <c r="B2" s="63"/>
      <c r="C2" s="63"/>
      <c r="D2" s="61"/>
    </row>
    <row r="3" spans="1:4" s="59" customFormat="1" ht="28.2" thickTop="1" x14ac:dyDescent="0.3">
      <c r="A3" s="62"/>
      <c r="B3" s="77" t="s">
        <v>94</v>
      </c>
      <c r="C3" s="76"/>
      <c r="D3" s="77" t="s">
        <v>95</v>
      </c>
    </row>
    <row r="4" spans="1:4" s="4" customFormat="1" x14ac:dyDescent="0.3">
      <c r="A4" s="56"/>
      <c r="B4" s="57" t="s">
        <v>97</v>
      </c>
      <c r="C4" s="57"/>
      <c r="D4" s="57" t="s">
        <v>96</v>
      </c>
    </row>
    <row r="5" spans="1:4" s="4" customFormat="1" x14ac:dyDescent="0.3">
      <c r="A5" s="33" t="s">
        <v>21</v>
      </c>
      <c r="B5" s="43">
        <v>29.8</v>
      </c>
      <c r="C5" s="33"/>
      <c r="D5" s="51">
        <v>424.6</v>
      </c>
    </row>
    <row r="6" spans="1:4" s="4" customFormat="1" x14ac:dyDescent="0.25">
      <c r="A6" s="34"/>
      <c r="B6" s="44"/>
      <c r="C6" s="34"/>
      <c r="D6" s="52"/>
    </row>
    <row r="7" spans="1:4" x14ac:dyDescent="0.3">
      <c r="A7" s="33" t="s">
        <v>10</v>
      </c>
      <c r="B7" s="43">
        <v>6.3</v>
      </c>
      <c r="C7" s="33"/>
      <c r="D7" s="51">
        <v>193.6</v>
      </c>
    </row>
    <row r="8" spans="1:4" ht="13.8" customHeight="1" x14ac:dyDescent="0.3">
      <c r="A8" s="29" t="s">
        <v>22</v>
      </c>
      <c r="B8" s="45">
        <v>4.8</v>
      </c>
      <c r="C8" s="29"/>
      <c r="D8" s="53">
        <v>131.19999999999999</v>
      </c>
    </row>
    <row r="9" spans="1:4" x14ac:dyDescent="0.3">
      <c r="A9" s="29" t="s">
        <v>23</v>
      </c>
      <c r="B9" s="45">
        <v>1.2</v>
      </c>
      <c r="C9" s="29"/>
      <c r="D9" s="53">
        <v>28.2</v>
      </c>
    </row>
    <row r="10" spans="1:4" x14ac:dyDescent="0.3">
      <c r="A10" s="29" t="s">
        <v>24</v>
      </c>
      <c r="B10" s="45">
        <v>1.2</v>
      </c>
      <c r="C10" s="29"/>
      <c r="D10" s="53">
        <v>6</v>
      </c>
    </row>
    <row r="11" spans="1:4" x14ac:dyDescent="0.3">
      <c r="A11" s="29" t="s">
        <v>25</v>
      </c>
      <c r="B11" s="45">
        <v>1.9</v>
      </c>
      <c r="C11" s="29"/>
      <c r="D11" s="53">
        <v>28.3</v>
      </c>
    </row>
    <row r="12" spans="1:4" x14ac:dyDescent="0.3">
      <c r="A12" s="25"/>
      <c r="B12" s="46"/>
      <c r="C12" s="25"/>
      <c r="D12" s="54"/>
    </row>
    <row r="13" spans="1:4" x14ac:dyDescent="0.3">
      <c r="A13" s="33" t="s">
        <v>13</v>
      </c>
      <c r="B13" s="43">
        <v>29</v>
      </c>
      <c r="C13" s="33"/>
      <c r="D13" s="51">
        <v>231</v>
      </c>
    </row>
    <row r="14" spans="1:4" x14ac:dyDescent="0.3">
      <c r="A14" s="29" t="s">
        <v>85</v>
      </c>
      <c r="B14" s="45">
        <v>28.4</v>
      </c>
      <c r="C14" s="29"/>
      <c r="D14" s="53">
        <v>132.69999999999999</v>
      </c>
    </row>
    <row r="15" spans="1:4" x14ac:dyDescent="0.3">
      <c r="A15" s="29" t="s">
        <v>26</v>
      </c>
      <c r="B15" s="45">
        <v>21.6</v>
      </c>
      <c r="C15" s="29"/>
      <c r="D15" s="53">
        <v>88.6</v>
      </c>
    </row>
    <row r="16" spans="1:4" x14ac:dyDescent="0.3">
      <c r="A16" s="72" t="s">
        <v>24</v>
      </c>
      <c r="B16" s="45">
        <v>1.6</v>
      </c>
      <c r="C16" s="29"/>
      <c r="D16" s="53">
        <v>10</v>
      </c>
    </row>
    <row r="17" spans="1:4" x14ac:dyDescent="0.3">
      <c r="A17" s="98"/>
      <c r="B17" s="98"/>
      <c r="C17" s="98"/>
      <c r="D17" s="98"/>
    </row>
    <row r="18" spans="1:4" ht="4.5" customHeight="1" x14ac:dyDescent="0.3">
      <c r="A18" s="7"/>
      <c r="B18" s="7"/>
      <c r="C18" s="7"/>
      <c r="D18" s="7"/>
    </row>
    <row r="19" spans="1:4" x14ac:dyDescent="0.3">
      <c r="A19" s="48" t="s">
        <v>20</v>
      </c>
      <c r="B19" s="7"/>
      <c r="C19" s="7"/>
      <c r="D19" s="7"/>
    </row>
    <row r="20" spans="1:4" ht="4.5" customHeight="1" x14ac:dyDescent="0.3">
      <c r="A20" s="7"/>
      <c r="B20" s="7"/>
      <c r="C20" s="7"/>
      <c r="D20" s="7"/>
    </row>
    <row r="21" spans="1:4" ht="14.4" thickBot="1" x14ac:dyDescent="0.35">
      <c r="A21" s="1"/>
      <c r="D21" s="2"/>
    </row>
    <row r="22" spans="1:4" ht="14.4" thickBot="1" x14ac:dyDescent="0.35">
      <c r="A22" s="30" t="s">
        <v>86</v>
      </c>
      <c r="B22" s="31"/>
      <c r="C22" s="31"/>
      <c r="D22" s="32"/>
    </row>
    <row r="23" spans="1:4" ht="14.4" thickBot="1" x14ac:dyDescent="0.35">
      <c r="A23" s="1"/>
      <c r="D23" s="2"/>
    </row>
    <row r="24" spans="1:4" ht="14.4" thickTop="1" x14ac:dyDescent="0.3">
      <c r="A24" s="5" t="s">
        <v>79</v>
      </c>
      <c r="B24" s="6"/>
      <c r="C24" s="6"/>
      <c r="D24" s="6"/>
    </row>
  </sheetData>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C0F6-8EF0-4ED6-8ACB-798FC8A26D3A}">
  <sheetPr>
    <tabColor theme="0" tint="-0.34998626667073579"/>
  </sheetPr>
  <dimension ref="A1:K48"/>
  <sheetViews>
    <sheetView showGridLines="0" zoomScaleNormal="100" workbookViewId="0"/>
  </sheetViews>
  <sheetFormatPr defaultColWidth="9.21875" defaultRowHeight="13.8" x14ac:dyDescent="0.3"/>
  <cols>
    <col min="1" max="1" width="1.44140625" style="110" customWidth="1"/>
    <col min="2" max="2" width="6" style="112" customWidth="1"/>
    <col min="3" max="3" width="3.77734375" style="112" customWidth="1"/>
    <col min="4" max="4" width="6" style="112" customWidth="1"/>
    <col min="5" max="5" width="25.77734375" style="110" customWidth="1"/>
    <col min="6" max="6" width="15" style="110" customWidth="1"/>
    <col min="7" max="7" width="2" style="110" customWidth="1"/>
    <col min="8" max="8" width="16.21875" style="110" customWidth="1"/>
    <col min="9" max="11" width="4.77734375" style="110" customWidth="1"/>
    <col min="12" max="16384" width="9.21875" style="110"/>
  </cols>
  <sheetData>
    <row r="1" spans="1:11" s="107" customFormat="1" ht="14.4" x14ac:dyDescent="0.3">
      <c r="A1" s="106" t="s">
        <v>146</v>
      </c>
      <c r="B1" s="106"/>
      <c r="C1" s="106"/>
    </row>
    <row r="2" spans="1:11" s="107" customFormat="1" ht="15" thickBot="1" x14ac:dyDescent="0.35">
      <c r="A2" s="108" t="s">
        <v>156</v>
      </c>
      <c r="B2" s="108"/>
      <c r="C2" s="108"/>
      <c r="D2" s="109"/>
      <c r="E2" s="109"/>
      <c r="F2" s="109"/>
      <c r="G2" s="109"/>
      <c r="H2" s="109"/>
      <c r="I2" s="109"/>
      <c r="J2" s="109"/>
      <c r="K2" s="109"/>
    </row>
    <row r="3" spans="1:11" ht="14.4" thickTop="1" x14ac:dyDescent="0.3">
      <c r="B3" s="111"/>
      <c r="C3" s="111"/>
      <c r="D3" s="111"/>
      <c r="E3" s="112"/>
      <c r="F3" s="112"/>
      <c r="G3" s="111"/>
      <c r="H3" s="112"/>
      <c r="I3" s="112"/>
    </row>
    <row r="4" spans="1:11" x14ac:dyDescent="0.3">
      <c r="B4" s="111"/>
      <c r="C4" s="111"/>
      <c r="D4" s="111"/>
      <c r="E4" s="112"/>
      <c r="F4" s="112"/>
      <c r="G4" s="111"/>
      <c r="H4" s="112"/>
      <c r="I4" s="112"/>
    </row>
    <row r="5" spans="1:11" x14ac:dyDescent="0.3">
      <c r="B5" s="110"/>
      <c r="C5" s="110"/>
      <c r="D5" s="110"/>
    </row>
    <row r="6" spans="1:11" x14ac:dyDescent="0.3">
      <c r="B6" s="110"/>
      <c r="C6" s="110"/>
      <c r="D6" s="110"/>
    </row>
    <row r="7" spans="1:11" x14ac:dyDescent="0.3">
      <c r="B7" s="111"/>
      <c r="C7" s="111"/>
      <c r="D7" s="111"/>
      <c r="E7" s="112"/>
      <c r="F7" s="112"/>
      <c r="G7" s="111"/>
      <c r="H7" s="112"/>
      <c r="I7" s="112"/>
    </row>
    <row r="8" spans="1:11" x14ac:dyDescent="0.3">
      <c r="B8" s="111"/>
      <c r="C8" s="111"/>
      <c r="D8" s="111"/>
      <c r="E8" s="112"/>
      <c r="F8" s="112"/>
      <c r="G8" s="111"/>
      <c r="H8" s="112"/>
      <c r="I8" s="112"/>
    </row>
    <row r="9" spans="1:11" x14ac:dyDescent="0.3">
      <c r="B9" s="111"/>
      <c r="C9" s="111"/>
      <c r="D9" s="111"/>
      <c r="E9" s="112"/>
      <c r="F9" s="112"/>
      <c r="G9" s="111"/>
      <c r="H9" s="112"/>
      <c r="I9" s="112"/>
    </row>
    <row r="10" spans="1:11" s="113" customFormat="1" x14ac:dyDescent="0.3">
      <c r="B10" s="112"/>
      <c r="C10" s="112"/>
      <c r="D10" s="112"/>
      <c r="E10" s="114"/>
      <c r="F10" s="115"/>
      <c r="G10" s="116"/>
      <c r="H10" s="115"/>
      <c r="I10" s="110"/>
      <c r="J10" s="110"/>
      <c r="K10" s="110"/>
    </row>
    <row r="11" spans="1:11" s="113" customFormat="1" ht="21" customHeight="1" x14ac:dyDescent="0.3">
      <c r="B11" s="112"/>
      <c r="C11" s="112"/>
      <c r="D11" s="112"/>
      <c r="E11" s="117"/>
      <c r="F11" s="118"/>
      <c r="G11" s="117"/>
      <c r="H11" s="119"/>
      <c r="I11" s="110"/>
      <c r="J11" s="110"/>
      <c r="K11" s="110"/>
    </row>
    <row r="12" spans="1:11" x14ac:dyDescent="0.3">
      <c r="E12" s="114"/>
      <c r="F12" s="120"/>
      <c r="G12" s="114"/>
      <c r="H12" s="121"/>
    </row>
    <row r="13" spans="1:11" ht="11.25" customHeight="1" x14ac:dyDescent="0.3">
      <c r="E13" s="122"/>
      <c r="F13" s="123"/>
      <c r="G13" s="122"/>
      <c r="H13" s="124"/>
    </row>
    <row r="14" spans="1:11" x14ac:dyDescent="0.3">
      <c r="E14" s="122"/>
      <c r="F14" s="123"/>
      <c r="G14" s="122"/>
      <c r="H14" s="124"/>
    </row>
    <row r="15" spans="1:11" x14ac:dyDescent="0.3">
      <c r="A15" s="125"/>
      <c r="B15" s="126"/>
      <c r="C15" s="126"/>
      <c r="E15" s="122"/>
      <c r="F15" s="123"/>
      <c r="G15" s="122"/>
      <c r="H15" s="124"/>
    </row>
    <row r="16" spans="1:11" x14ac:dyDescent="0.3">
      <c r="E16" s="122"/>
      <c r="F16" s="123"/>
      <c r="G16" s="122"/>
      <c r="H16" s="124"/>
    </row>
    <row r="17" spans="1:11" x14ac:dyDescent="0.3">
      <c r="E17" s="122"/>
      <c r="F17" s="123"/>
      <c r="G17" s="122"/>
      <c r="H17" s="124"/>
    </row>
    <row r="18" spans="1:11" x14ac:dyDescent="0.3">
      <c r="E18" s="114"/>
      <c r="F18" s="120"/>
      <c r="G18" s="114"/>
      <c r="H18" s="121"/>
    </row>
    <row r="19" spans="1:11" x14ac:dyDescent="0.3">
      <c r="E19" s="122"/>
      <c r="F19" s="123"/>
      <c r="G19" s="122"/>
      <c r="H19" s="124"/>
    </row>
    <row r="20" spans="1:11" x14ac:dyDescent="0.3">
      <c r="E20" s="122"/>
      <c r="F20" s="123"/>
      <c r="G20" s="122"/>
      <c r="H20" s="124"/>
    </row>
    <row r="21" spans="1:11" x14ac:dyDescent="0.3">
      <c r="E21" s="122"/>
      <c r="F21" s="123"/>
      <c r="G21" s="122"/>
      <c r="H21" s="124"/>
    </row>
    <row r="22" spans="1:11" x14ac:dyDescent="0.3">
      <c r="A22" s="125"/>
      <c r="B22" s="126"/>
      <c r="E22" s="122"/>
      <c r="F22" s="123"/>
      <c r="G22" s="122"/>
      <c r="H22" s="124"/>
    </row>
    <row r="23" spans="1:11" x14ac:dyDescent="0.3">
      <c r="E23" s="122"/>
      <c r="F23" s="123"/>
      <c r="G23" s="122"/>
      <c r="H23" s="124"/>
    </row>
    <row r="24" spans="1:11" s="107" customFormat="1" ht="14.4" x14ac:dyDescent="0.3">
      <c r="A24" s="106" t="s">
        <v>147</v>
      </c>
      <c r="B24" s="106"/>
      <c r="C24" s="106"/>
    </row>
    <row r="25" spans="1:11" s="107" customFormat="1" ht="15" thickBot="1" x14ac:dyDescent="0.35">
      <c r="A25" s="108" t="s">
        <v>156</v>
      </c>
      <c r="B25" s="108"/>
      <c r="C25" s="108"/>
      <c r="D25" s="109"/>
      <c r="E25" s="109"/>
      <c r="F25" s="109"/>
      <c r="G25" s="109"/>
      <c r="H25" s="109"/>
      <c r="I25" s="109"/>
      <c r="J25" s="109"/>
      <c r="K25" s="109"/>
    </row>
    <row r="26" spans="1:11" ht="14.4" thickTop="1" x14ac:dyDescent="0.3"/>
    <row r="29" spans="1:11" ht="4.5" customHeight="1" x14ac:dyDescent="0.3">
      <c r="B29" s="110"/>
      <c r="C29" s="110"/>
      <c r="D29" s="110"/>
    </row>
    <row r="30" spans="1:11" x14ac:dyDescent="0.3">
      <c r="B30" s="110"/>
      <c r="C30" s="110"/>
      <c r="D30" s="110"/>
    </row>
    <row r="31" spans="1:11" ht="4.5" customHeight="1" x14ac:dyDescent="0.3">
      <c r="B31" s="110"/>
      <c r="C31" s="110"/>
      <c r="D31" s="110"/>
    </row>
    <row r="47" spans="1:11" ht="9.6" customHeight="1" thickBot="1" x14ac:dyDescent="0.35"/>
    <row r="48" spans="1:11" ht="14.4" thickTop="1" x14ac:dyDescent="0.3">
      <c r="A48" s="127" t="s">
        <v>79</v>
      </c>
      <c r="B48" s="128"/>
      <c r="C48" s="128"/>
      <c r="D48" s="128"/>
      <c r="E48" s="127"/>
      <c r="F48" s="127"/>
      <c r="G48" s="127"/>
      <c r="H48" s="127"/>
      <c r="I48" s="127"/>
      <c r="J48" s="127"/>
      <c r="K48" s="127"/>
    </row>
  </sheetData>
  <pageMargins left="0.75" right="0.75" top="1" bottom="1" header="0.5" footer="0.5"/>
  <pageSetup orientation="portrait" r:id="rId1"/>
  <headerFooter alignWithMargins="0">
    <oddHeader>&amp;L&amp;"Arial,Bold"&amp;K03+000CMS Fast Facts &amp;R&amp;"Arial,Bold"&amp;K03+000April 2026 Version</oddHeader>
    <oddFooter>&amp;L&amp;G</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F22"/>
  <sheetViews>
    <sheetView showGridLines="0" zoomScaleNormal="100" workbookViewId="0"/>
  </sheetViews>
  <sheetFormatPr defaultColWidth="9.21875" defaultRowHeight="13.8" x14ac:dyDescent="0.3"/>
  <cols>
    <col min="1" max="1" width="36.5546875" style="2" customWidth="1"/>
    <col min="2" max="2" width="9.21875" style="1" customWidth="1"/>
    <col min="3" max="5" width="3.77734375" style="1" customWidth="1"/>
    <col min="6" max="6" width="2.21875" style="1" customWidth="1"/>
    <col min="7" max="16384" width="9.21875" style="2"/>
  </cols>
  <sheetData>
    <row r="1" spans="1:6" s="59" customFormat="1" ht="14.4" x14ac:dyDescent="0.3">
      <c r="A1" s="62" t="s">
        <v>27</v>
      </c>
      <c r="B1" s="62"/>
      <c r="C1" s="62"/>
      <c r="D1" s="62"/>
      <c r="E1" s="62"/>
    </row>
    <row r="2" spans="1:6" s="59" customFormat="1" ht="15" thickBot="1" x14ac:dyDescent="0.35">
      <c r="A2" s="60" t="s">
        <v>156</v>
      </c>
      <c r="B2" s="63"/>
      <c r="C2" s="63"/>
      <c r="D2" s="63"/>
      <c r="E2" s="63"/>
      <c r="F2" s="61"/>
    </row>
    <row r="3" spans="1:6" ht="14.4" thickTop="1" x14ac:dyDescent="0.3">
      <c r="A3" s="8"/>
      <c r="B3" s="39"/>
      <c r="C3" s="2"/>
      <c r="D3" s="2"/>
      <c r="E3" s="2"/>
      <c r="F3" s="2"/>
    </row>
    <row r="4" spans="1:6" s="4" customFormat="1" x14ac:dyDescent="0.3">
      <c r="A4" s="33" t="s">
        <v>91</v>
      </c>
      <c r="B4" s="38">
        <v>53.3</v>
      </c>
    </row>
    <row r="5" spans="1:6" s="4" customFormat="1" x14ac:dyDescent="0.25">
      <c r="A5" s="37" t="s">
        <v>92</v>
      </c>
      <c r="B5" s="88">
        <v>1.7</v>
      </c>
    </row>
    <row r="6" spans="1:6" s="4" customFormat="1" x14ac:dyDescent="0.25">
      <c r="A6" s="34"/>
      <c r="B6" s="36"/>
    </row>
    <row r="7" spans="1:6" x14ac:dyDescent="0.3">
      <c r="A7" s="33" t="s">
        <v>93</v>
      </c>
      <c r="B7" s="81">
        <v>146.19999999999999</v>
      </c>
      <c r="C7" s="2"/>
      <c r="D7" s="2"/>
      <c r="E7" s="2"/>
      <c r="F7" s="2"/>
    </row>
    <row r="8" spans="1:6" ht="11.25" customHeight="1" x14ac:dyDescent="0.3">
      <c r="A8" s="37" t="s">
        <v>28</v>
      </c>
      <c r="B8" s="89">
        <v>145.69999999999999</v>
      </c>
      <c r="C8" s="2"/>
      <c r="D8" s="2"/>
      <c r="E8" s="2"/>
      <c r="F8" s="2"/>
    </row>
    <row r="9" spans="1:6" x14ac:dyDescent="0.3">
      <c r="A9" s="37" t="s">
        <v>29</v>
      </c>
      <c r="B9" s="89">
        <v>0.5</v>
      </c>
      <c r="C9" s="2"/>
      <c r="D9" s="2"/>
      <c r="E9" s="2"/>
      <c r="F9" s="2"/>
    </row>
    <row r="10" spans="1:6" ht="14.4" thickBot="1" x14ac:dyDescent="0.35">
      <c r="A10" s="1"/>
      <c r="F10" s="2"/>
    </row>
    <row r="11" spans="1:6" ht="14.4" thickTop="1" x14ac:dyDescent="0.3">
      <c r="A11" s="5" t="s">
        <v>78</v>
      </c>
      <c r="B11" s="6"/>
      <c r="C11" s="6"/>
      <c r="D11" s="6"/>
      <c r="E11" s="6"/>
      <c r="F11" s="6"/>
    </row>
    <row r="15" spans="1:6" x14ac:dyDescent="0.3">
      <c r="A15" s="70"/>
      <c r="B15" s="71"/>
      <c r="C15" s="71"/>
    </row>
    <row r="22" spans="1:2" x14ac:dyDescent="0.3">
      <c r="A22" s="70"/>
      <c r="B22" s="71"/>
    </row>
  </sheetData>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A1:B20"/>
  <sheetViews>
    <sheetView showGridLines="0" zoomScaleNormal="100" workbookViewId="0"/>
  </sheetViews>
  <sheetFormatPr defaultColWidth="9.21875" defaultRowHeight="13.8" x14ac:dyDescent="0.3"/>
  <cols>
    <col min="1" max="1" width="48.44140625" style="2" customWidth="1"/>
    <col min="2" max="2" width="14" style="1" customWidth="1"/>
    <col min="3" max="16384" width="9.21875" style="2"/>
  </cols>
  <sheetData>
    <row r="1" spans="1:2" s="59" customFormat="1" ht="14.4" x14ac:dyDescent="0.3">
      <c r="A1" s="62" t="s">
        <v>125</v>
      </c>
    </row>
    <row r="2" spans="1:2" s="59" customFormat="1" ht="15" thickBot="1" x14ac:dyDescent="0.35">
      <c r="A2" s="60" t="s">
        <v>157</v>
      </c>
      <c r="B2" s="61"/>
    </row>
    <row r="3" spans="1:2" s="4" customFormat="1" ht="28.2" thickTop="1" x14ac:dyDescent="0.3">
      <c r="A3" s="56"/>
      <c r="B3" s="57" t="s">
        <v>80</v>
      </c>
    </row>
    <row r="4" spans="1:2" s="4" customFormat="1" x14ac:dyDescent="0.25">
      <c r="A4" s="34"/>
      <c r="B4" s="47"/>
    </row>
    <row r="5" spans="1:2" ht="15" x14ac:dyDescent="0.3">
      <c r="A5" s="33" t="s">
        <v>158</v>
      </c>
      <c r="B5" s="87">
        <v>977.4</v>
      </c>
    </row>
    <row r="6" spans="1:2" ht="15" customHeight="1" x14ac:dyDescent="0.3">
      <c r="A6" s="29" t="s">
        <v>159</v>
      </c>
      <c r="B6" s="53">
        <v>72.5</v>
      </c>
    </row>
    <row r="7" spans="1:2" ht="15" x14ac:dyDescent="0.3">
      <c r="A7" s="29" t="s">
        <v>160</v>
      </c>
      <c r="B7" s="53">
        <v>190.9</v>
      </c>
    </row>
    <row r="8" spans="1:2" ht="15" x14ac:dyDescent="0.3">
      <c r="A8" s="29" t="s">
        <v>161</v>
      </c>
      <c r="B8" s="53">
        <v>129.5</v>
      </c>
    </row>
    <row r="9" spans="1:2" ht="15" x14ac:dyDescent="0.3">
      <c r="A9" s="29" t="s">
        <v>162</v>
      </c>
      <c r="B9" s="53">
        <v>22.2</v>
      </c>
    </row>
    <row r="10" spans="1:2" x14ac:dyDescent="0.3">
      <c r="A10" s="29" t="s">
        <v>123</v>
      </c>
      <c r="B10" s="53">
        <v>509</v>
      </c>
    </row>
    <row r="11" spans="1:2" x14ac:dyDescent="0.3">
      <c r="A11" s="29" t="s">
        <v>124</v>
      </c>
      <c r="B11" s="53">
        <v>41.5</v>
      </c>
    </row>
    <row r="12" spans="1:2" x14ac:dyDescent="0.3">
      <c r="B12" s="2"/>
    </row>
    <row r="13" spans="1:2" ht="13.05" customHeight="1" x14ac:dyDescent="0.3">
      <c r="A13" s="80" t="s">
        <v>163</v>
      </c>
      <c r="B13" s="7"/>
    </row>
    <row r="14" spans="1:2" ht="13.05" customHeight="1" x14ac:dyDescent="0.3">
      <c r="A14" s="80" t="s">
        <v>164</v>
      </c>
      <c r="B14" s="7"/>
    </row>
    <row r="15" spans="1:2" ht="13.05" customHeight="1" x14ac:dyDescent="0.3">
      <c r="A15" s="93"/>
      <c r="B15" s="2"/>
    </row>
    <row r="16" spans="1:2" ht="88.5" customHeight="1" x14ac:dyDescent="0.3">
      <c r="A16" s="136" t="s">
        <v>130</v>
      </c>
      <c r="B16" s="136"/>
    </row>
    <row r="17" spans="1:2" ht="4.5" customHeight="1" x14ac:dyDescent="0.3">
      <c r="A17" s="7"/>
      <c r="B17" s="7"/>
    </row>
    <row r="18" spans="1:2" ht="14.4" thickBot="1" x14ac:dyDescent="0.35">
      <c r="A18" s="1"/>
      <c r="B18" s="2"/>
    </row>
    <row r="19" spans="1:2" ht="14.4" thickTop="1" x14ac:dyDescent="0.3">
      <c r="A19" s="5" t="s">
        <v>117</v>
      </c>
      <c r="B19" s="6"/>
    </row>
    <row r="20" spans="1:2" x14ac:dyDescent="0.3">
      <c r="A20" s="70"/>
    </row>
  </sheetData>
  <mergeCells count="1">
    <mergeCell ref="A16:B16"/>
  </mergeCells>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K23"/>
  <sheetViews>
    <sheetView showGridLines="0" zoomScaleNormal="100" workbookViewId="0"/>
  </sheetViews>
  <sheetFormatPr defaultColWidth="9.21875" defaultRowHeight="13.8" x14ac:dyDescent="0.3"/>
  <cols>
    <col min="1" max="1" width="1.44140625" style="2" customWidth="1"/>
    <col min="2" max="2" width="6" style="1" customWidth="1"/>
    <col min="3" max="3" width="3.77734375" style="1" customWidth="1"/>
    <col min="4" max="4" width="6" style="1" customWidth="1"/>
    <col min="5" max="5" width="25.77734375" style="2" customWidth="1"/>
    <col min="6" max="6" width="15" style="2" customWidth="1"/>
    <col min="7" max="7" width="2" style="2" customWidth="1"/>
    <col min="8" max="8" width="16.21875" style="2" customWidth="1"/>
    <col min="9" max="11" width="4.77734375" style="2" customWidth="1"/>
    <col min="12" max="16384" width="9.21875" style="2"/>
  </cols>
  <sheetData>
    <row r="1" spans="1:11" s="59" customFormat="1" ht="14.4" x14ac:dyDescent="0.3">
      <c r="A1" s="62" t="s">
        <v>131</v>
      </c>
    </row>
    <row r="2" spans="1:11" s="59" customFormat="1" ht="15" thickBot="1" x14ac:dyDescent="0.35">
      <c r="A2" s="60" t="s">
        <v>157</v>
      </c>
      <c r="B2" s="60"/>
      <c r="C2" s="60"/>
      <c r="D2" s="61"/>
      <c r="E2" s="61"/>
      <c r="F2" s="61"/>
      <c r="G2" s="61"/>
      <c r="H2" s="61"/>
      <c r="I2" s="61"/>
      <c r="J2" s="61"/>
      <c r="K2" s="61"/>
    </row>
    <row r="3" spans="1:11" ht="14.4" thickTop="1" x14ac:dyDescent="0.3">
      <c r="B3" s="2"/>
      <c r="C3" s="2"/>
      <c r="D3" s="2"/>
    </row>
    <row r="4" spans="1:11" x14ac:dyDescent="0.3">
      <c r="B4" s="2"/>
      <c r="C4" s="2"/>
      <c r="D4" s="2"/>
    </row>
    <row r="22" spans="1:11" ht="27" customHeight="1" thickBot="1" x14ac:dyDescent="0.35"/>
    <row r="23" spans="1:11" ht="14.4" thickTop="1" x14ac:dyDescent="0.3">
      <c r="A23" s="5" t="s">
        <v>117</v>
      </c>
      <c r="B23" s="6"/>
      <c r="C23" s="6"/>
      <c r="D23" s="6"/>
      <c r="E23" s="5"/>
      <c r="F23" s="5"/>
      <c r="G23" s="5"/>
      <c r="H23" s="5"/>
      <c r="I23" s="5"/>
      <c r="J23" s="5"/>
      <c r="K23" s="5"/>
    </row>
  </sheetData>
  <pageMargins left="0.75" right="0.75" top="1" bottom="1" header="0.5" footer="0.5"/>
  <pageSetup orientation="portrait" r:id="rId1"/>
  <headerFooter alignWithMargins="0">
    <oddHeader>&amp;L&amp;"Arial,Bold"&amp;K03+000CMS Fast Facts &amp;R&amp;"Arial,Bold"&amp;K03+000April 2026 Version</oddHeader>
    <oddFooter>&amp;L&amp;G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34998626667073579"/>
  </sheetPr>
  <dimension ref="A1:J25"/>
  <sheetViews>
    <sheetView showGridLines="0" zoomScaleNormal="100" workbookViewId="0"/>
  </sheetViews>
  <sheetFormatPr defaultColWidth="9.21875" defaultRowHeight="13.8" x14ac:dyDescent="0.3"/>
  <cols>
    <col min="1" max="1" width="41.44140625" style="2" customWidth="1"/>
    <col min="2" max="2" width="5" style="1" customWidth="1"/>
    <col min="3" max="3" width="12.5546875" style="1" bestFit="1" customWidth="1"/>
    <col min="4" max="4" width="4.21875" style="2" customWidth="1"/>
    <col min="5" max="16384" width="9.21875" style="2"/>
  </cols>
  <sheetData>
    <row r="1" spans="1:10" s="59" customFormat="1" ht="15" thickBot="1" x14ac:dyDescent="0.35">
      <c r="A1" s="60" t="s">
        <v>165</v>
      </c>
      <c r="B1" s="60"/>
      <c r="C1" s="60"/>
    </row>
    <row r="2" spans="1:10" ht="14.4" thickTop="1" x14ac:dyDescent="0.3">
      <c r="B2" s="2"/>
    </row>
    <row r="3" spans="1:10" s="4" customFormat="1" ht="14.4" x14ac:dyDescent="0.3">
      <c r="A3" s="40" t="s">
        <v>88</v>
      </c>
      <c r="B3" s="40"/>
      <c r="C3" s="41" t="s">
        <v>89</v>
      </c>
    </row>
    <row r="4" spans="1:10" s="4" customFormat="1" ht="14.4" x14ac:dyDescent="0.3">
      <c r="A4" s="29" t="s">
        <v>31</v>
      </c>
      <c r="B4" s="29"/>
      <c r="C4" s="101">
        <v>5978</v>
      </c>
      <c r="J4" s="84"/>
    </row>
    <row r="5" spans="1:10" s="4" customFormat="1" ht="14.4" x14ac:dyDescent="0.3">
      <c r="A5" s="29" t="s">
        <v>32</v>
      </c>
      <c r="B5" s="29"/>
      <c r="C5" s="101">
        <v>3133</v>
      </c>
      <c r="J5" s="84"/>
    </row>
    <row r="6" spans="1:10" s="4" customFormat="1" ht="14.4" x14ac:dyDescent="0.3">
      <c r="A6" s="29" t="s">
        <v>33</v>
      </c>
      <c r="B6" s="29"/>
      <c r="C6" s="101">
        <v>646</v>
      </c>
      <c r="J6" s="84"/>
    </row>
    <row r="7" spans="1:10" ht="14.4" x14ac:dyDescent="0.3">
      <c r="A7" s="29" t="s">
        <v>34</v>
      </c>
      <c r="B7" s="29"/>
      <c r="C7" s="101">
        <v>397</v>
      </c>
      <c r="J7" s="84"/>
    </row>
    <row r="8" spans="1:10" ht="14.4" x14ac:dyDescent="0.3">
      <c r="A8" s="29" t="s">
        <v>35</v>
      </c>
      <c r="B8" s="29"/>
      <c r="C8" s="101">
        <v>94</v>
      </c>
      <c r="J8" s="84"/>
    </row>
    <row r="9" spans="1:10" ht="14.4" x14ac:dyDescent="0.3">
      <c r="A9" s="29" t="s">
        <v>36</v>
      </c>
      <c r="B9" s="29"/>
      <c r="C9" s="101">
        <v>324</v>
      </c>
      <c r="J9" s="84"/>
    </row>
    <row r="10" spans="1:10" ht="14.4" x14ac:dyDescent="0.3">
      <c r="A10" s="29" t="s">
        <v>37</v>
      </c>
      <c r="B10" s="29"/>
      <c r="C10" s="101">
        <v>1372</v>
      </c>
      <c r="J10" s="84"/>
    </row>
    <row r="11" spans="1:10" ht="14.4" x14ac:dyDescent="0.3">
      <c r="A11" s="29" t="s">
        <v>38</v>
      </c>
      <c r="B11" s="29"/>
      <c r="C11" s="101">
        <v>12</v>
      </c>
      <c r="J11" s="84"/>
    </row>
    <row r="12" spans="1:10" ht="14.4" x14ac:dyDescent="0.3">
      <c r="A12" s="29"/>
      <c r="B12" s="29"/>
      <c r="C12" s="101"/>
      <c r="J12" s="84"/>
    </row>
    <row r="13" spans="1:10" ht="14.4" x14ac:dyDescent="0.3">
      <c r="A13" s="29" t="s">
        <v>39</v>
      </c>
      <c r="B13" s="29"/>
      <c r="C13" s="101">
        <v>12182</v>
      </c>
      <c r="J13" s="84"/>
    </row>
    <row r="14" spans="1:10" ht="14.4" x14ac:dyDescent="0.3">
      <c r="A14" s="29" t="s">
        <v>40</v>
      </c>
      <c r="B14" s="29"/>
      <c r="C14" s="101">
        <v>14513</v>
      </c>
      <c r="J14" s="84"/>
    </row>
    <row r="15" spans="1:10" ht="14.4" x14ac:dyDescent="0.3">
      <c r="A15" s="72" t="s">
        <v>41</v>
      </c>
      <c r="B15" s="72"/>
      <c r="C15" s="101">
        <v>305784</v>
      </c>
      <c r="J15" s="84"/>
    </row>
    <row r="16" spans="1:10" ht="14.4" x14ac:dyDescent="0.3">
      <c r="A16" s="29" t="s">
        <v>42</v>
      </c>
      <c r="B16" s="29"/>
      <c r="C16" s="101">
        <v>1875</v>
      </c>
      <c r="J16" s="84"/>
    </row>
    <row r="17" spans="1:10" ht="14.4" x14ac:dyDescent="0.3">
      <c r="A17" s="29" t="s">
        <v>43</v>
      </c>
      <c r="B17" s="29"/>
      <c r="C17" s="101">
        <v>5579</v>
      </c>
      <c r="J17" s="84"/>
    </row>
    <row r="18" spans="1:10" ht="14.4" x14ac:dyDescent="0.3">
      <c r="A18" s="29" t="s">
        <v>44</v>
      </c>
      <c r="B18" s="29"/>
      <c r="C18" s="101">
        <v>12342</v>
      </c>
      <c r="J18" s="84"/>
    </row>
    <row r="19" spans="1:10" ht="14.4" x14ac:dyDescent="0.3">
      <c r="A19" s="29" t="s">
        <v>45</v>
      </c>
      <c r="B19" s="29"/>
      <c r="C19" s="101">
        <v>6410</v>
      </c>
      <c r="J19" s="84"/>
    </row>
    <row r="20" spans="1:10" ht="14.4" x14ac:dyDescent="0.3">
      <c r="A20" s="29" t="s">
        <v>46</v>
      </c>
      <c r="B20" s="29"/>
      <c r="C20" s="101">
        <v>139</v>
      </c>
      <c r="J20" s="84"/>
    </row>
    <row r="21" spans="1:10" ht="14.4" x14ac:dyDescent="0.3">
      <c r="A21" s="72" t="s">
        <v>47</v>
      </c>
      <c r="B21" s="72"/>
      <c r="C21" s="101">
        <v>6973</v>
      </c>
    </row>
    <row r="22" spans="1:10" ht="15" thickBot="1" x14ac:dyDescent="0.35">
      <c r="A22" s="23"/>
      <c r="B22" s="23"/>
      <c r="C22" s="24"/>
    </row>
    <row r="23" spans="1:10" ht="14.4" thickBot="1" x14ac:dyDescent="0.35">
      <c r="A23" s="30" t="s">
        <v>30</v>
      </c>
      <c r="B23" s="31"/>
      <c r="C23" s="32"/>
    </row>
    <row r="24" spans="1:10" ht="14.4" thickBot="1" x14ac:dyDescent="0.35">
      <c r="A24" s="1"/>
    </row>
    <row r="25" spans="1:10" ht="14.4" thickTop="1" x14ac:dyDescent="0.3">
      <c r="A25" s="5" t="s">
        <v>79</v>
      </c>
      <c r="B25" s="6"/>
      <c r="C25" s="6"/>
    </row>
  </sheetData>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C25"/>
  <sheetViews>
    <sheetView showGridLines="0" zoomScaleNormal="100" workbookViewId="0">
      <selection sqref="A1:B1"/>
    </sheetView>
  </sheetViews>
  <sheetFormatPr defaultColWidth="9.21875" defaultRowHeight="13.8" x14ac:dyDescent="0.3"/>
  <cols>
    <col min="1" max="1" width="42.44140625" style="2" bestFit="1" customWidth="1"/>
    <col min="2" max="2" width="11.5546875" style="1" bestFit="1" customWidth="1"/>
    <col min="3" max="16384" width="9.21875" style="2"/>
  </cols>
  <sheetData>
    <row r="1" spans="1:3" s="59" customFormat="1" ht="16.2" x14ac:dyDescent="0.3">
      <c r="A1" s="139" t="s">
        <v>166</v>
      </c>
      <c r="B1" s="139"/>
    </row>
    <row r="2" spans="1:3" s="59" customFormat="1" ht="15" thickBot="1" x14ac:dyDescent="0.35">
      <c r="A2" s="140" t="s">
        <v>156</v>
      </c>
      <c r="B2" s="140"/>
    </row>
    <row r="3" spans="1:3" ht="14.4" thickTop="1" x14ac:dyDescent="0.3">
      <c r="A3" s="8"/>
      <c r="B3" s="8"/>
    </row>
    <row r="4" spans="1:3" s="4" customFormat="1" ht="14.4" x14ac:dyDescent="0.3">
      <c r="A4" s="40" t="s">
        <v>90</v>
      </c>
      <c r="B4" s="41" t="s">
        <v>89</v>
      </c>
    </row>
    <row r="5" spans="1:3" s="4" customFormat="1" ht="14.4" x14ac:dyDescent="0.3">
      <c r="A5" s="29" t="s">
        <v>111</v>
      </c>
      <c r="B5" s="78">
        <v>1598940</v>
      </c>
    </row>
    <row r="6" spans="1:3" s="4" customFormat="1" ht="14.4" x14ac:dyDescent="0.3">
      <c r="A6" s="29" t="s">
        <v>48</v>
      </c>
      <c r="B6" s="78">
        <v>223585</v>
      </c>
    </row>
    <row r="7" spans="1:3" s="4" customFormat="1" ht="14.4" x14ac:dyDescent="0.3">
      <c r="A7" s="29" t="s">
        <v>50</v>
      </c>
      <c r="B7" s="78">
        <v>191970</v>
      </c>
    </row>
    <row r="8" spans="1:3" ht="14.4" x14ac:dyDescent="0.3">
      <c r="A8" s="29" t="s">
        <v>49</v>
      </c>
      <c r="B8" s="78">
        <v>113261</v>
      </c>
    </row>
    <row r="9" spans="1:3" ht="14.4" x14ac:dyDescent="0.3">
      <c r="A9" s="29" t="s">
        <v>55</v>
      </c>
      <c r="B9" s="78">
        <v>54558</v>
      </c>
    </row>
    <row r="10" spans="1:3" ht="14.4" x14ac:dyDescent="0.3">
      <c r="A10" s="29" t="s">
        <v>51</v>
      </c>
      <c r="B10" s="78">
        <v>45664</v>
      </c>
    </row>
    <row r="11" spans="1:3" ht="14.4" x14ac:dyDescent="0.3">
      <c r="A11" s="29" t="s">
        <v>54</v>
      </c>
      <c r="B11" s="78">
        <v>42409</v>
      </c>
    </row>
    <row r="12" spans="1:3" ht="14.4" x14ac:dyDescent="0.3">
      <c r="A12" s="29" t="s">
        <v>119</v>
      </c>
      <c r="B12" s="78">
        <v>35109</v>
      </c>
    </row>
    <row r="13" spans="1:3" ht="14.4" x14ac:dyDescent="0.3">
      <c r="A13" s="29" t="s">
        <v>53</v>
      </c>
      <c r="B13" s="78">
        <v>28006</v>
      </c>
    </row>
    <row r="14" spans="1:3" ht="14.4" x14ac:dyDescent="0.3">
      <c r="A14" s="29" t="s">
        <v>52</v>
      </c>
      <c r="B14" s="78">
        <v>12940</v>
      </c>
    </row>
    <row r="15" spans="1:3" ht="14.4" x14ac:dyDescent="0.3">
      <c r="A15" s="72" t="s">
        <v>56</v>
      </c>
      <c r="B15" s="78">
        <v>684177</v>
      </c>
      <c r="C15" s="70"/>
    </row>
    <row r="16" spans="1:3" ht="14.4" x14ac:dyDescent="0.3">
      <c r="A16" s="29" t="s">
        <v>57</v>
      </c>
      <c r="B16" s="78">
        <v>102614</v>
      </c>
    </row>
    <row r="17" spans="1:2" ht="14.4" x14ac:dyDescent="0.3">
      <c r="A17" s="29" t="s">
        <v>58</v>
      </c>
      <c r="B17" s="78">
        <v>10297</v>
      </c>
    </row>
    <row r="18" spans="1:2" ht="14.4" x14ac:dyDescent="0.3">
      <c r="A18" s="29" t="s">
        <v>120</v>
      </c>
      <c r="B18" s="78">
        <v>1214</v>
      </c>
    </row>
    <row r="19" spans="1:2" ht="14.4" x14ac:dyDescent="0.3">
      <c r="A19" s="29" t="s">
        <v>99</v>
      </c>
      <c r="B19" s="78">
        <v>74257</v>
      </c>
    </row>
    <row r="20" spans="1:2" x14ac:dyDescent="0.3">
      <c r="B20" s="2"/>
    </row>
    <row r="21" spans="1:2" s="49" customFormat="1" ht="4.5" customHeight="1" x14ac:dyDescent="0.2">
      <c r="A21" s="48"/>
      <c r="B21" s="48"/>
    </row>
    <row r="22" spans="1:2" s="49" customFormat="1" ht="45.75" customHeight="1" x14ac:dyDescent="0.2">
      <c r="A22" s="137" t="s">
        <v>167</v>
      </c>
      <c r="B22" s="138"/>
    </row>
    <row r="23" spans="1:2" s="49" customFormat="1" ht="4.5" customHeight="1" x14ac:dyDescent="0.2">
      <c r="A23" s="48"/>
      <c r="B23" s="48"/>
    </row>
    <row r="24" spans="1:2" ht="14.4" thickBot="1" x14ac:dyDescent="0.35">
      <c r="A24" s="1"/>
    </row>
    <row r="25" spans="1:2" ht="14.4" thickTop="1" x14ac:dyDescent="0.3">
      <c r="A25" s="141" t="s">
        <v>79</v>
      </c>
      <c r="B25" s="141"/>
    </row>
  </sheetData>
  <mergeCells count="4">
    <mergeCell ref="A22:B22"/>
    <mergeCell ref="A1:B1"/>
    <mergeCell ref="A2:B2"/>
    <mergeCell ref="A25:B25"/>
  </mergeCells>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34998626667073579"/>
  </sheetPr>
  <dimension ref="A1:B22"/>
  <sheetViews>
    <sheetView showGridLines="0" zoomScaleNormal="100" workbookViewId="0">
      <selection sqref="A1:B1"/>
    </sheetView>
  </sheetViews>
  <sheetFormatPr defaultColWidth="9.21875" defaultRowHeight="13.8" x14ac:dyDescent="0.3"/>
  <cols>
    <col min="1" max="1" width="42.44140625" style="2" bestFit="1" customWidth="1"/>
    <col min="2" max="2" width="11.5546875" style="1" bestFit="1" customWidth="1"/>
    <col min="3" max="16384" width="9.21875" style="2"/>
  </cols>
  <sheetData>
    <row r="1" spans="1:2" ht="14.4" x14ac:dyDescent="0.3">
      <c r="A1" s="139" t="s">
        <v>112</v>
      </c>
      <c r="B1" s="139"/>
    </row>
    <row r="2" spans="1:2" ht="14.4" x14ac:dyDescent="0.3">
      <c r="A2" s="139" t="s">
        <v>113</v>
      </c>
      <c r="B2" s="139"/>
    </row>
    <row r="3" spans="1:2" ht="16.2" customHeight="1" thickBot="1" x14ac:dyDescent="0.35">
      <c r="A3" s="60" t="s">
        <v>168</v>
      </c>
      <c r="B3" s="60"/>
    </row>
    <row r="4" spans="1:2" ht="14.4" thickTop="1" x14ac:dyDescent="0.3">
      <c r="A4" s="1"/>
    </row>
    <row r="5" spans="1:2" ht="14.4" x14ac:dyDescent="0.3">
      <c r="A5" s="40" t="s">
        <v>90</v>
      </c>
      <c r="B5" s="41" t="s">
        <v>89</v>
      </c>
    </row>
    <row r="6" spans="1:2" ht="14.4" x14ac:dyDescent="0.3">
      <c r="A6" s="29" t="s">
        <v>100</v>
      </c>
      <c r="B6" s="79">
        <v>69602</v>
      </c>
    </row>
    <row r="7" spans="1:2" ht="14.4" x14ac:dyDescent="0.3">
      <c r="A7" s="29" t="s">
        <v>101</v>
      </c>
      <c r="B7" s="79">
        <v>42761</v>
      </c>
    </row>
    <row r="8" spans="1:2" ht="14.4" x14ac:dyDescent="0.3">
      <c r="A8" s="29" t="s">
        <v>102</v>
      </c>
      <c r="B8" s="79">
        <v>8285</v>
      </c>
    </row>
    <row r="9" spans="1:2" ht="14.4" x14ac:dyDescent="0.3">
      <c r="A9" s="29" t="s">
        <v>104</v>
      </c>
      <c r="B9" s="79">
        <v>4022</v>
      </c>
    </row>
    <row r="10" spans="1:2" ht="14.4" x14ac:dyDescent="0.3">
      <c r="A10" s="29" t="s">
        <v>103</v>
      </c>
      <c r="B10" s="79">
        <v>2935</v>
      </c>
    </row>
    <row r="11" spans="1:2" ht="14.4" x14ac:dyDescent="0.3">
      <c r="A11" s="29" t="s">
        <v>105</v>
      </c>
      <c r="B11" s="79">
        <v>2482</v>
      </c>
    </row>
    <row r="12" spans="1:2" ht="14.4" x14ac:dyDescent="0.3">
      <c r="A12" s="29" t="s">
        <v>107</v>
      </c>
      <c r="B12" s="79">
        <v>1951</v>
      </c>
    </row>
    <row r="13" spans="1:2" ht="14.4" x14ac:dyDescent="0.3">
      <c r="A13" s="29" t="s">
        <v>109</v>
      </c>
      <c r="B13" s="79">
        <v>1114</v>
      </c>
    </row>
    <row r="14" spans="1:2" ht="14.4" x14ac:dyDescent="0.3">
      <c r="A14" s="29" t="s">
        <v>106</v>
      </c>
      <c r="B14" s="79">
        <v>716</v>
      </c>
    </row>
    <row r="15" spans="1:2" ht="14.4" x14ac:dyDescent="0.3">
      <c r="A15" s="29" t="s">
        <v>108</v>
      </c>
      <c r="B15" s="79">
        <v>780</v>
      </c>
    </row>
    <row r="16" spans="1:2" ht="14.4" x14ac:dyDescent="0.3">
      <c r="A16" s="72" t="s">
        <v>110</v>
      </c>
      <c r="B16" s="79">
        <v>4717</v>
      </c>
    </row>
    <row r="17" spans="1:2" ht="14.25" customHeight="1" x14ac:dyDescent="0.3">
      <c r="B17" s="2"/>
    </row>
    <row r="18" spans="1:2" ht="6" customHeight="1" x14ac:dyDescent="0.3">
      <c r="A18" s="48"/>
      <c r="B18" s="48"/>
    </row>
    <row r="19" spans="1:2" ht="47.25" customHeight="1" x14ac:dyDescent="0.3">
      <c r="A19" s="137" t="s">
        <v>169</v>
      </c>
      <c r="B19" s="138"/>
    </row>
    <row r="20" spans="1:2" ht="8.25" customHeight="1" x14ac:dyDescent="0.3">
      <c r="A20" s="48"/>
      <c r="B20" s="48"/>
    </row>
    <row r="21" spans="1:2" ht="14.4" thickBot="1" x14ac:dyDescent="0.35">
      <c r="A21" s="1"/>
    </row>
    <row r="22" spans="1:2" ht="14.4" thickTop="1" x14ac:dyDescent="0.3">
      <c r="A22" s="141" t="s">
        <v>79</v>
      </c>
      <c r="B22" s="141"/>
    </row>
  </sheetData>
  <mergeCells count="4">
    <mergeCell ref="A1:B1"/>
    <mergeCell ref="A2:B2"/>
    <mergeCell ref="A19:B19"/>
    <mergeCell ref="A22:B22"/>
  </mergeCells>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249977111117893"/>
  </sheetPr>
  <dimension ref="A1:C15"/>
  <sheetViews>
    <sheetView showGridLines="0" zoomScaleNormal="100" workbookViewId="0"/>
  </sheetViews>
  <sheetFormatPr defaultColWidth="9.21875" defaultRowHeight="13.8" x14ac:dyDescent="0.3"/>
  <cols>
    <col min="1" max="1" width="41.44140625" style="2" bestFit="1" customWidth="1"/>
    <col min="2" max="2" width="12.21875" style="1" bestFit="1" customWidth="1"/>
    <col min="3" max="16384" width="9.21875" style="2"/>
  </cols>
  <sheetData>
    <row r="1" spans="1:3" s="59" customFormat="1" ht="15" thickBot="1" x14ac:dyDescent="0.35">
      <c r="A1" s="60" t="s">
        <v>170</v>
      </c>
      <c r="B1" s="60"/>
    </row>
    <row r="2" spans="1:3" ht="14.4" thickTop="1" x14ac:dyDescent="0.3">
      <c r="A2" s="8"/>
      <c r="B2" s="39"/>
    </row>
    <row r="3" spans="1:3" s="66" customFormat="1" ht="14.4" x14ac:dyDescent="0.3">
      <c r="A3" s="65"/>
      <c r="B3" s="67" t="s">
        <v>89</v>
      </c>
    </row>
    <row r="4" spans="1:3" s="4" customFormat="1" x14ac:dyDescent="0.25">
      <c r="A4" s="37" t="s">
        <v>59</v>
      </c>
      <c r="B4" s="92">
        <v>920</v>
      </c>
    </row>
    <row r="5" spans="1:3" s="4" customFormat="1" x14ac:dyDescent="0.25">
      <c r="A5" s="37" t="s">
        <v>60</v>
      </c>
      <c r="B5" s="92">
        <v>48</v>
      </c>
    </row>
    <row r="6" spans="1:3" ht="14.4" thickBot="1" x14ac:dyDescent="0.35">
      <c r="B6" s="35"/>
    </row>
    <row r="7" spans="1:3" ht="14.4" thickTop="1" x14ac:dyDescent="0.3">
      <c r="A7" s="5" t="s">
        <v>61</v>
      </c>
      <c r="B7" s="6"/>
    </row>
    <row r="8" spans="1:3" x14ac:dyDescent="0.3">
      <c r="A8" s="70"/>
      <c r="B8" s="71"/>
      <c r="C8" s="70"/>
    </row>
    <row r="15" spans="1:3" x14ac:dyDescent="0.3">
      <c r="A15" s="70"/>
      <c r="B15" s="71"/>
    </row>
  </sheetData>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34998626667073579"/>
  </sheetPr>
  <dimension ref="A1:C22"/>
  <sheetViews>
    <sheetView showGridLines="0" zoomScaleNormal="100" workbookViewId="0"/>
  </sheetViews>
  <sheetFormatPr defaultColWidth="9.21875" defaultRowHeight="13.8" x14ac:dyDescent="0.3"/>
  <cols>
    <col min="1" max="1" width="42.44140625" style="2" bestFit="1" customWidth="1"/>
    <col min="2" max="2" width="5" style="1" customWidth="1"/>
    <col min="3" max="3" width="8.21875" style="1" bestFit="1" customWidth="1"/>
    <col min="4" max="16384" width="9.21875" style="2"/>
  </cols>
  <sheetData>
    <row r="1" spans="1:3" s="59" customFormat="1" ht="15" thickBot="1" x14ac:dyDescent="0.35">
      <c r="A1" s="60" t="s">
        <v>171</v>
      </c>
      <c r="B1" s="60"/>
      <c r="C1" s="60"/>
    </row>
    <row r="2" spans="1:3" ht="14.4" thickTop="1" x14ac:dyDescent="0.3">
      <c r="A2" s="8"/>
      <c r="B2" s="8"/>
      <c r="C2" s="8"/>
    </row>
    <row r="3" spans="1:3" s="4" customFormat="1" x14ac:dyDescent="0.3">
      <c r="A3" s="58" t="s">
        <v>21</v>
      </c>
      <c r="B3" s="58"/>
      <c r="C3" s="102">
        <v>5278.6</v>
      </c>
    </row>
    <row r="4" spans="1:3" s="4" customFormat="1" x14ac:dyDescent="0.3">
      <c r="A4" s="42" t="s">
        <v>62</v>
      </c>
      <c r="B4" s="42"/>
      <c r="C4" s="103">
        <v>0.18</v>
      </c>
    </row>
    <row r="5" spans="1:3" s="4" customFormat="1" x14ac:dyDescent="0.3">
      <c r="A5" s="42" t="s">
        <v>63</v>
      </c>
      <c r="B5" s="42"/>
      <c r="C5" s="104">
        <v>15474</v>
      </c>
    </row>
    <row r="6" spans="1:3" x14ac:dyDescent="0.3">
      <c r="A6" s="58" t="s">
        <v>64</v>
      </c>
      <c r="B6" s="58"/>
      <c r="C6" s="102">
        <v>3892.9</v>
      </c>
    </row>
    <row r="7" spans="1:3" x14ac:dyDescent="0.3">
      <c r="A7" s="42" t="s">
        <v>65</v>
      </c>
      <c r="B7" s="42"/>
      <c r="C7" s="105">
        <v>1644.6</v>
      </c>
    </row>
    <row r="8" spans="1:3" x14ac:dyDescent="0.3">
      <c r="A8" s="42" t="s">
        <v>66</v>
      </c>
      <c r="B8" s="42"/>
      <c r="C8" s="105">
        <v>1118</v>
      </c>
    </row>
    <row r="9" spans="1:3" x14ac:dyDescent="0.3">
      <c r="A9" s="42" t="s">
        <v>67</v>
      </c>
      <c r="B9" s="42"/>
      <c r="C9" s="105">
        <v>931.7</v>
      </c>
    </row>
    <row r="10" spans="1:3" x14ac:dyDescent="0.3">
      <c r="A10" s="42" t="s">
        <v>68</v>
      </c>
      <c r="B10" s="42"/>
      <c r="C10" s="105">
        <v>31</v>
      </c>
    </row>
    <row r="11" spans="1:3" x14ac:dyDescent="0.3">
      <c r="A11" s="42" t="s">
        <v>69</v>
      </c>
      <c r="B11" s="42"/>
      <c r="C11" s="105">
        <v>50</v>
      </c>
    </row>
    <row r="12" spans="1:3" x14ac:dyDescent="0.3">
      <c r="A12" s="42" t="s">
        <v>70</v>
      </c>
      <c r="B12" s="42"/>
      <c r="C12" s="105">
        <v>117.6</v>
      </c>
    </row>
    <row r="13" spans="1:3" x14ac:dyDescent="0.3">
      <c r="B13" s="2"/>
      <c r="C13" s="2"/>
    </row>
    <row r="14" spans="1:3" s="49" customFormat="1" ht="4.5" customHeight="1" x14ac:dyDescent="0.2">
      <c r="A14" s="48"/>
      <c r="B14" s="48"/>
      <c r="C14" s="48"/>
    </row>
    <row r="15" spans="1:3" s="49" customFormat="1" ht="12" x14ac:dyDescent="0.2">
      <c r="A15" s="142" t="s">
        <v>81</v>
      </c>
      <c r="B15" s="138"/>
      <c r="C15" s="138"/>
    </row>
    <row r="16" spans="1:3" s="49" customFormat="1" ht="4.5" customHeight="1" x14ac:dyDescent="0.2">
      <c r="A16" s="48"/>
      <c r="B16" s="48"/>
      <c r="C16" s="48"/>
    </row>
    <row r="17" spans="1:3" ht="14.4" thickBot="1" x14ac:dyDescent="0.35">
      <c r="A17" s="1"/>
    </row>
    <row r="18" spans="1:3" ht="14.4" thickTop="1" x14ac:dyDescent="0.3">
      <c r="A18" s="5" t="s">
        <v>9</v>
      </c>
      <c r="B18" s="6"/>
      <c r="C18" s="6"/>
    </row>
    <row r="22" spans="1:3" x14ac:dyDescent="0.3">
      <c r="A22" s="70"/>
      <c r="B22" s="71"/>
    </row>
  </sheetData>
  <mergeCells count="1">
    <mergeCell ref="A15:C15"/>
  </mergeCells>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249977111117893"/>
  </sheetPr>
  <dimension ref="A1:B18"/>
  <sheetViews>
    <sheetView showGridLines="0" zoomScaleNormal="100" workbookViewId="0"/>
  </sheetViews>
  <sheetFormatPr defaultColWidth="9.21875" defaultRowHeight="13.8" x14ac:dyDescent="0.3"/>
  <cols>
    <col min="1" max="1" width="52.44140625" style="2" bestFit="1" customWidth="1"/>
    <col min="2" max="2" width="11.33203125" style="1" bestFit="1" customWidth="1"/>
    <col min="3" max="16384" width="9.21875" style="2"/>
  </cols>
  <sheetData>
    <row r="1" spans="1:2" s="59" customFormat="1" ht="15" thickBot="1" x14ac:dyDescent="0.35">
      <c r="A1" s="60" t="s">
        <v>172</v>
      </c>
      <c r="B1" s="60"/>
    </row>
    <row r="2" spans="1:2" ht="14.4" thickTop="1" x14ac:dyDescent="0.3">
      <c r="A2" s="8"/>
      <c r="B2" s="8"/>
    </row>
    <row r="3" spans="1:2" s="4" customFormat="1" x14ac:dyDescent="0.3">
      <c r="A3" s="58" t="s">
        <v>144</v>
      </c>
      <c r="B3" s="91">
        <v>1886339</v>
      </c>
    </row>
    <row r="4" spans="1:2" s="4" customFormat="1" x14ac:dyDescent="0.3">
      <c r="A4" s="42" t="s">
        <v>145</v>
      </c>
      <c r="B4" s="90">
        <v>1158308</v>
      </c>
    </row>
    <row r="5" spans="1:2" ht="15" x14ac:dyDescent="0.3">
      <c r="A5" s="42" t="s">
        <v>173</v>
      </c>
      <c r="B5" s="90">
        <v>686957</v>
      </c>
    </row>
    <row r="6" spans="1:2" x14ac:dyDescent="0.3">
      <c r="A6" s="42" t="s">
        <v>71</v>
      </c>
      <c r="B6" s="90">
        <v>23466</v>
      </c>
    </row>
    <row r="7" spans="1:2" x14ac:dyDescent="0.3">
      <c r="A7" s="42" t="s">
        <v>72</v>
      </c>
      <c r="B7" s="90">
        <v>17608</v>
      </c>
    </row>
    <row r="8" spans="1:2" x14ac:dyDescent="0.3">
      <c r="A8" s="58" t="s">
        <v>73</v>
      </c>
      <c r="B8" s="91">
        <v>7549.6</v>
      </c>
    </row>
    <row r="9" spans="1:2" x14ac:dyDescent="0.3">
      <c r="A9" s="42" t="s">
        <v>74</v>
      </c>
      <c r="B9" s="90">
        <v>4124.7</v>
      </c>
    </row>
    <row r="10" spans="1:2" x14ac:dyDescent="0.3">
      <c r="A10" s="42" t="s">
        <v>75</v>
      </c>
      <c r="B10" s="90">
        <v>3424.9</v>
      </c>
    </row>
    <row r="11" spans="1:2" x14ac:dyDescent="0.3">
      <c r="A11" s="58" t="s">
        <v>76</v>
      </c>
      <c r="B11" s="91">
        <v>2589.8000000000002</v>
      </c>
    </row>
    <row r="12" spans="1:2" x14ac:dyDescent="0.3">
      <c r="A12" s="58" t="s">
        <v>77</v>
      </c>
      <c r="B12" s="130">
        <v>6083</v>
      </c>
    </row>
    <row r="13" spans="1:2" x14ac:dyDescent="0.3">
      <c r="A13" s="23"/>
      <c r="B13" s="23"/>
    </row>
    <row r="14" spans="1:2" x14ac:dyDescent="0.3">
      <c r="B14" s="2"/>
    </row>
    <row r="15" spans="1:2" s="49" customFormat="1" ht="15" customHeight="1" x14ac:dyDescent="0.2">
      <c r="A15" s="86" t="s">
        <v>174</v>
      </c>
      <c r="B15" s="85"/>
    </row>
    <row r="16" spans="1:2" s="49" customFormat="1" ht="4.5" customHeight="1" x14ac:dyDescent="0.2">
      <c r="A16" s="48"/>
      <c r="B16" s="48"/>
    </row>
    <row r="17" spans="1:2" ht="14.4" thickBot="1" x14ac:dyDescent="0.35">
      <c r="A17" s="1"/>
    </row>
    <row r="18" spans="1:2" ht="14.4" thickTop="1" x14ac:dyDescent="0.3">
      <c r="A18" s="5" t="s">
        <v>82</v>
      </c>
      <c r="B18" s="6"/>
    </row>
  </sheetData>
  <pageMargins left="0.75" right="0.75" top="1" bottom="1" header="0.5" footer="0.5"/>
  <pageSetup orientation="portrait" r:id="rId1"/>
  <headerFooter alignWithMargins="0">
    <oddHeader>&amp;L&amp;"Arial,Bold"&amp;K03+000CMS Fast Facts &amp;R&amp;"Arial,Bold"&amp;K03+000April 2026 Version</oddHeader>
    <oddFooter>&amp;L&amp;G</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Populations</vt:lpstr>
      <vt:lpstr>Deductibles, Coins, Premiums</vt:lpstr>
      <vt:lpstr>Medicare Utilization</vt:lpstr>
      <vt:lpstr>Medicare Utilization-Charts</vt:lpstr>
      <vt:lpstr>Medicare Part D</vt:lpstr>
      <vt:lpstr>Medicaid &amp; CHIP Expenditures</vt:lpstr>
      <vt:lpstr>Medicaid &amp; CHIP-Chart</vt:lpstr>
      <vt:lpstr>Institutional Providers</vt:lpstr>
      <vt:lpstr>NonInstitutional Providers</vt:lpstr>
      <vt:lpstr>DMEPOS Providers</vt:lpstr>
      <vt:lpstr>Prepaid Contracts</vt:lpstr>
      <vt:lpstr>NHE</vt:lpstr>
      <vt:lpstr>CMS Financial Data</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Diacogiannis</dc:creator>
  <cp:lastModifiedBy>Diacogiannis, Maria (CMS/OEDA)</cp:lastModifiedBy>
  <cp:lastPrinted>2026-04-06T15:51:30Z</cp:lastPrinted>
  <dcterms:created xsi:type="dcterms:W3CDTF">2001-10-17T00:41:29Z</dcterms:created>
  <dcterms:modified xsi:type="dcterms:W3CDTF">2026-04-06T15:52:03Z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TC062561561033</vt:lpwstr>
  </property>
  <property fmtid="{D5CDD505-2E9C-101B-9397-08002B2CF9AE}" pid="3" name="_NewReviewCycle">
    <vt:lpwstr/>
  </property>
</Properties>
</file>